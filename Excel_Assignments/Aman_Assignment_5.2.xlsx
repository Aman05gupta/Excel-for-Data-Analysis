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ACCIO JOB\Assignments\Excel_Assignments\"/>
    </mc:Choice>
  </mc:AlternateContent>
  <xr:revisionPtr revIDLastSave="0" documentId="8_{5F6676C1-491D-4854-B74D-2FFD55D2BD24}" xr6:coauthVersionLast="47" xr6:coauthVersionMax="47" xr10:uidLastSave="{00000000-0000-0000-0000-000000000000}"/>
  <bookViews>
    <workbookView xWindow="-108" yWindow="-108" windowWidth="23256" windowHeight="13176" firstSheet="6" activeTab="9"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Month-Year Format" sheetId="8" r:id="rId6"/>
    <sheet name="Working Days Excl Holidays" sheetId="12"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11" l="1"/>
  <c r="D4" i="11"/>
  <c r="D5" i="11"/>
  <c r="D6" i="11"/>
  <c r="D7" i="11"/>
  <c r="D8" i="11"/>
  <c r="D9" i="11"/>
  <c r="D10" i="11"/>
  <c r="D11" i="11"/>
  <c r="D2" i="11"/>
  <c r="E3" i="11"/>
  <c r="E4" i="11"/>
  <c r="E5" i="11"/>
  <c r="E6" i="11"/>
  <c r="E7" i="11"/>
  <c r="E8" i="11"/>
  <c r="E9" i="11"/>
  <c r="E10" i="11"/>
  <c r="E11" i="11"/>
  <c r="E2" i="11"/>
  <c r="C3" i="11"/>
  <c r="C4" i="11"/>
  <c r="C5" i="11"/>
  <c r="C6" i="11"/>
  <c r="C7" i="11"/>
  <c r="C8" i="11"/>
  <c r="C9" i="11"/>
  <c r="C10" i="11"/>
  <c r="C11" i="11"/>
  <c r="C2" i="11"/>
  <c r="C3" i="10"/>
  <c r="C4" i="10"/>
  <c r="C5" i="10"/>
  <c r="C6" i="10"/>
  <c r="C7" i="10"/>
  <c r="C8" i="10"/>
  <c r="C9" i="10"/>
  <c r="C10" i="10"/>
  <c r="C11" i="10"/>
  <c r="C2" i="10"/>
  <c r="C4" i="9"/>
  <c r="C5" i="9"/>
  <c r="C6" i="9"/>
  <c r="C7" i="9"/>
  <c r="C8" i="9"/>
  <c r="C9" i="9"/>
  <c r="C10" i="9"/>
  <c r="C11" i="9"/>
  <c r="C12" i="9"/>
  <c r="C13" i="9"/>
  <c r="D4" i="9"/>
  <c r="D5" i="9"/>
  <c r="D6" i="9"/>
  <c r="D7" i="9"/>
  <c r="D8" i="9"/>
  <c r="D9" i="9"/>
  <c r="D10" i="9"/>
  <c r="D11" i="9"/>
  <c r="D12" i="9"/>
  <c r="D13" i="9"/>
  <c r="C3" i="9"/>
  <c r="D3" i="9"/>
  <c r="G4" i="12"/>
  <c r="C4" i="8"/>
  <c r="C5" i="8"/>
  <c r="C6" i="8"/>
  <c r="C7" i="8"/>
  <c r="C8" i="8"/>
  <c r="C9" i="8"/>
  <c r="C10" i="8"/>
  <c r="C11" i="8"/>
  <c r="C12" i="8"/>
  <c r="C13" i="8"/>
  <c r="C3" i="8"/>
  <c r="D4" i="5"/>
  <c r="D5" i="5"/>
  <c r="D6" i="5"/>
  <c r="D7" i="5"/>
  <c r="D8" i="5"/>
  <c r="D9" i="5"/>
  <c r="D10" i="5"/>
  <c r="D11" i="5"/>
  <c r="D12" i="5"/>
  <c r="D3" i="5"/>
  <c r="F3" i="5"/>
  <c r="F4" i="5"/>
  <c r="F5" i="5"/>
  <c r="F6" i="5"/>
  <c r="F7" i="5"/>
  <c r="F8" i="5"/>
  <c r="F9" i="5"/>
  <c r="F10" i="5"/>
  <c r="F11" i="5"/>
  <c r="F12" i="5"/>
  <c r="D4" i="4"/>
  <c r="D5" i="4"/>
  <c r="D6" i="4"/>
  <c r="D7" i="4"/>
  <c r="D8" i="4"/>
  <c r="D9" i="4"/>
  <c r="D10" i="4"/>
  <c r="D11" i="4"/>
  <c r="D12" i="4"/>
  <c r="D3" i="4"/>
  <c r="H3" i="3"/>
  <c r="H4" i="3"/>
  <c r="H5" i="3"/>
  <c r="H6" i="3"/>
  <c r="H7" i="3"/>
  <c r="H8" i="3"/>
  <c r="H9" i="3"/>
  <c r="H10" i="3"/>
  <c r="H11" i="3"/>
  <c r="H12" i="3"/>
  <c r="G4" i="3"/>
  <c r="G5" i="3"/>
  <c r="G6" i="3"/>
  <c r="G7" i="3"/>
  <c r="G8" i="3"/>
  <c r="G9" i="3"/>
  <c r="G10" i="3"/>
  <c r="G11" i="3"/>
  <c r="G12" i="3"/>
  <c r="G3" i="3"/>
  <c r="F4" i="3"/>
  <c r="F5" i="3"/>
  <c r="F6" i="3"/>
  <c r="F7" i="3"/>
  <c r="F8" i="3"/>
  <c r="F9" i="3"/>
  <c r="F10" i="3"/>
  <c r="F11" i="3"/>
  <c r="F12" i="3"/>
  <c r="F3" i="3"/>
  <c r="E4" i="3"/>
  <c r="E5" i="3"/>
  <c r="E6" i="3"/>
  <c r="E7" i="3"/>
  <c r="E8" i="3"/>
  <c r="E9" i="3"/>
  <c r="E10" i="3"/>
  <c r="E11" i="3"/>
  <c r="E12" i="3"/>
  <c r="E3" i="3"/>
  <c r="F3" i="2"/>
  <c r="F4" i="2"/>
  <c r="F5" i="2"/>
  <c r="F6" i="2"/>
  <c r="F7" i="2"/>
  <c r="F8" i="2"/>
  <c r="F9" i="2"/>
  <c r="F10" i="2"/>
  <c r="F11" i="2"/>
  <c r="F12" i="2"/>
  <c r="G4" i="1"/>
  <c r="G5" i="1"/>
  <c r="G6" i="1"/>
  <c r="G7" i="1"/>
  <c r="G8" i="1"/>
  <c r="G9" i="1"/>
  <c r="G10" i="1"/>
  <c r="G11" i="1"/>
  <c r="G12" i="1"/>
  <c r="G3" i="1"/>
  <c r="F4" i="1"/>
  <c r="F5" i="1"/>
  <c r="F6" i="1"/>
  <c r="F7" i="1"/>
  <c r="F8" i="1"/>
  <c r="F9" i="1"/>
  <c r="F10" i="1"/>
  <c r="F11" i="1"/>
  <c r="F12" i="1"/>
  <c r="F3" i="1"/>
  <c r="E4" i="1"/>
  <c r="E5" i="1"/>
  <c r="E6" i="1"/>
  <c r="E7" i="1"/>
  <c r="E8" i="1"/>
  <c r="E9" i="1"/>
  <c r="E10" i="1"/>
  <c r="E11" i="1"/>
  <c r="E12" i="1"/>
  <c r="E3" i="1"/>
</calcChain>
</file>

<file path=xl/sharedStrings.xml><?xml version="1.0" encoding="utf-8"?>
<sst xmlns="http://schemas.openxmlformats.org/spreadsheetml/2006/main" count="269" uniqueCount="124">
  <si>
    <t>ID</t>
  </si>
  <si>
    <t>Name</t>
  </si>
  <si>
    <t>Entry Time</t>
  </si>
  <si>
    <t>Hour</t>
  </si>
  <si>
    <t>Minutes</t>
  </si>
  <si>
    <t>Second</t>
  </si>
  <si>
    <t>EMP1</t>
  </si>
  <si>
    <t>EMP2</t>
  </si>
  <si>
    <t>EMP3</t>
  </si>
  <si>
    <t>EMP4</t>
  </si>
  <si>
    <t>EMP5</t>
  </si>
  <si>
    <t>EMP6</t>
  </si>
  <si>
    <t>EMP7</t>
  </si>
  <si>
    <t>EMP8</t>
  </si>
  <si>
    <t>EMP9</t>
  </si>
  <si>
    <t>EMP10</t>
  </si>
  <si>
    <t>Kunal</t>
  </si>
  <si>
    <t>Divya</t>
  </si>
  <si>
    <t>Amit</t>
  </si>
  <si>
    <t>Swati</t>
  </si>
  <si>
    <t>Pooja</t>
  </si>
  <si>
    <t>Ankit</t>
  </si>
  <si>
    <t>Sneha</t>
  </si>
  <si>
    <t>Neha</t>
  </si>
  <si>
    <t>Isha</t>
  </si>
  <si>
    <t>Raghav</t>
  </si>
  <si>
    <t>6:16:28 AM</t>
  </si>
  <si>
    <t>9:49:05 AM</t>
  </si>
  <si>
    <t>9:02:56 AM</t>
  </si>
  <si>
    <t>11:18:42 AM</t>
  </si>
  <si>
    <t>6:07:29 AM</t>
  </si>
  <si>
    <t>11:55:59 AM</t>
  </si>
  <si>
    <t>6:20:24 AM</t>
  </si>
  <si>
    <t>9:37:42 AM</t>
  </si>
  <si>
    <t>8:24:34 AM</t>
  </si>
  <si>
    <t>10:17:44 AM</t>
  </si>
  <si>
    <t>Leaving Time</t>
  </si>
  <si>
    <t>Working Hours</t>
  </si>
  <si>
    <t>10:24:55 AM</t>
  </si>
  <si>
    <t>7:27:03 AM</t>
  </si>
  <si>
    <t>8:29:04 AM</t>
  </si>
  <si>
    <t>10:01:27 AM</t>
  </si>
  <si>
    <t>8:40:50 AM</t>
  </si>
  <si>
    <t>6:34:50 AM</t>
  </si>
  <si>
    <t>11:04:15 AM</t>
  </si>
  <si>
    <t>10:19:54 AM</t>
  </si>
  <si>
    <t>10:48:09 AM</t>
  </si>
  <si>
    <t>9:14:19 AM</t>
  </si>
  <si>
    <t>2:31:34 PM</t>
  </si>
  <si>
    <t>5:33:05 PM</t>
  </si>
  <si>
    <t>7:52:46 PM</t>
  </si>
  <si>
    <t>4:27:05 PM</t>
  </si>
  <si>
    <t>2:16:41 PM</t>
  </si>
  <si>
    <t>3:40:58 PM</t>
  </si>
  <si>
    <t>9:05:28 PM</t>
  </si>
  <si>
    <t>9:29:03 PM</t>
  </si>
  <si>
    <t>1:24:20 PM</t>
  </si>
  <si>
    <t>3:44:01 PM</t>
  </si>
  <si>
    <t>Date of Joining</t>
  </si>
  <si>
    <t>Day</t>
  </si>
  <si>
    <t>Month</t>
  </si>
  <si>
    <t>Year</t>
  </si>
  <si>
    <t>Total Years in Company</t>
  </si>
  <si>
    <t>2018-02-18</t>
  </si>
  <si>
    <t>2019-01-21</t>
  </si>
  <si>
    <t>2019-01-01</t>
  </si>
  <si>
    <t>2023-05-23</t>
  </si>
  <si>
    <t>2023-06-17</t>
  </si>
  <si>
    <t>2022-06-09</t>
  </si>
  <si>
    <t>2022-03-18</t>
  </si>
  <si>
    <t>2021-06-29</t>
  </si>
  <si>
    <t>2021-11-01</t>
  </si>
  <si>
    <t>2022-07-02</t>
  </si>
  <si>
    <t>Name of the Employee</t>
  </si>
  <si>
    <t>Last date of probation date</t>
  </si>
  <si>
    <t>Nikhil</t>
  </si>
  <si>
    <t>Rishi</t>
  </si>
  <si>
    <t>Reema</t>
  </si>
  <si>
    <t>Tanvi</t>
  </si>
  <si>
    <t>Ritika</t>
  </si>
  <si>
    <t>Karan</t>
  </si>
  <si>
    <t>Sameer</t>
  </si>
  <si>
    <t>Mehul</t>
  </si>
  <si>
    <t>Tushar</t>
  </si>
  <si>
    <t>Payal</t>
  </si>
  <si>
    <t>2021-06-19</t>
  </si>
  <si>
    <t>2023-04-16</t>
  </si>
  <si>
    <t>2018-12-07</t>
  </si>
  <si>
    <t>2019-05-15</t>
  </si>
  <si>
    <t>2023-01-13</t>
  </si>
  <si>
    <t>2019-08-13</t>
  </si>
  <si>
    <t>2019-04-15</t>
  </si>
  <si>
    <t>2019-05-17</t>
  </si>
  <si>
    <t>2020-11-12</t>
  </si>
  <si>
    <t>2019-03-29</t>
  </si>
  <si>
    <t>Current Date</t>
  </si>
  <si>
    <t>No of days in the company</t>
  </si>
  <si>
    <t>2025-07-22</t>
  </si>
  <si>
    <t>List of Holidays</t>
  </si>
  <si>
    <t>31-Jan-2021</t>
  </si>
  <si>
    <t>31-Mar-2021</t>
  </si>
  <si>
    <t>31-May-2021</t>
  </si>
  <si>
    <t>31-Jul-2021</t>
  </si>
  <si>
    <t>30-Sep-2021</t>
  </si>
  <si>
    <t>30-Nov-2021</t>
  </si>
  <si>
    <t>31-Jan-2022</t>
  </si>
  <si>
    <t>31-Mar-2022</t>
  </si>
  <si>
    <t>31-May-2022</t>
  </si>
  <si>
    <t>31-Jul-2022</t>
  </si>
  <si>
    <t>30-Sep-2022</t>
  </si>
  <si>
    <t>Start date</t>
  </si>
  <si>
    <t>Last working date</t>
  </si>
  <si>
    <t>No. of working days (Excl. Holidays)</t>
  </si>
  <si>
    <t>2021-01-01</t>
  </si>
  <si>
    <t>2022-12-31</t>
  </si>
  <si>
    <t>NewDate</t>
  </si>
  <si>
    <t>Dates</t>
  </si>
  <si>
    <t>End Of Month</t>
  </si>
  <si>
    <t>Number Format</t>
  </si>
  <si>
    <t>Day Name</t>
  </si>
  <si>
    <t>Date of joining</t>
  </si>
  <si>
    <t>Worked Till Today</t>
  </si>
  <si>
    <t>Quarter</t>
  </si>
  <si>
    <t>Answer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</si>
</sst>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7" formatCode="mm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xf numFmtId="165" fontId="0" fillId="0" borderId="4" xfId="0" applyNumberFormat="1" applyBorder="1"/>
    <xf numFmtId="165" fontId="0" fillId="0" borderId="3" xfId="0" applyNumberFormat="1" applyBorder="1" applyAlignment="1">
      <alignment horizontal="center"/>
    </xf>
    <xf numFmtId="0" fontId="0" fillId="0" borderId="4" xfId="0" applyBorder="1" applyAlignment="1">
      <alignment horizontal="center"/>
    </xf>
    <xf numFmtId="1" fontId="0" fillId="0" borderId="4" xfId="0" applyNumberFormat="1" applyBorder="1"/>
    <xf numFmtId="167" fontId="0" fillId="0" borderId="3" xfId="0" applyNumberFormat="1" applyBorder="1" applyAlignment="1">
      <alignment horizontal="center"/>
    </xf>
    <xf numFmtId="1" fontId="0" fillId="0" borderId="4" xfId="0" applyNumberFormat="1" applyBorder="1" applyAlignment="1">
      <alignment horizontal="center"/>
    </xf>
    <xf numFmtId="165"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396240</xdr:colOff>
      <xdr:row>1</xdr:row>
      <xdr:rowOff>53340</xdr:rowOff>
    </xdr:from>
    <xdr:to>
      <xdr:col>15</xdr:col>
      <xdr:colOff>190500</xdr:colOff>
      <xdr:row>11</xdr:row>
      <xdr:rowOff>0</xdr:rowOff>
    </xdr:to>
    <xdr:sp macro="" textlink="">
      <xdr:nvSpPr>
        <xdr:cNvPr id="3" name="Arrow: Left 2">
          <a:extLst>
            <a:ext uri="{FF2B5EF4-FFF2-40B4-BE49-F238E27FC236}">
              <a16:creationId xmlns:a16="http://schemas.microsoft.com/office/drawing/2014/main" id="{B488449C-F977-4E9A-915B-016D0316857E}"/>
            </a:ext>
          </a:extLst>
        </xdr:cNvPr>
        <xdr:cNvSpPr/>
      </xdr:nvSpPr>
      <xdr:spPr>
        <a:xfrm>
          <a:off x="5318760" y="23622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99060</xdr:colOff>
      <xdr:row>1</xdr:row>
      <xdr:rowOff>76200</xdr:rowOff>
    </xdr:from>
    <xdr:to>
      <xdr:col>12</xdr:col>
      <xdr:colOff>502921</xdr:colOff>
      <xdr:row>12</xdr:row>
      <xdr:rowOff>121920</xdr:rowOff>
    </xdr:to>
    <xdr:sp macro="" textlink="">
      <xdr:nvSpPr>
        <xdr:cNvPr id="3" name="Arrow: Left 2">
          <a:extLst>
            <a:ext uri="{FF2B5EF4-FFF2-40B4-BE49-F238E27FC236}">
              <a16:creationId xmlns:a16="http://schemas.microsoft.com/office/drawing/2014/main" id="{E6A9DAAD-9CA3-497A-A2D6-C8E7771963BA}"/>
            </a:ext>
          </a:extLst>
        </xdr:cNvPr>
        <xdr:cNvSpPr/>
      </xdr:nvSpPr>
      <xdr:spPr>
        <a:xfrm>
          <a:off x="4777740" y="25908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518160</xdr:colOff>
      <xdr:row>2</xdr:row>
      <xdr:rowOff>76200</xdr:rowOff>
    </xdr:from>
    <xdr:to>
      <xdr:col>15</xdr:col>
      <xdr:colOff>464820</xdr:colOff>
      <xdr:row>13</xdr:row>
      <xdr:rowOff>121920</xdr:rowOff>
    </xdr:to>
    <xdr:sp macro="" textlink="">
      <xdr:nvSpPr>
        <xdr:cNvPr id="2" name="Arrow: Left 1">
          <a:extLst>
            <a:ext uri="{FF2B5EF4-FFF2-40B4-BE49-F238E27FC236}">
              <a16:creationId xmlns:a16="http://schemas.microsoft.com/office/drawing/2014/main" id="{4B6C2901-837C-42FD-A9C5-C1A674F76AA5}"/>
            </a:ext>
          </a:extLst>
        </xdr:cNvPr>
        <xdr:cNvSpPr/>
      </xdr:nvSpPr>
      <xdr:spPr>
        <a:xfrm>
          <a:off x="5394960" y="25908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1</xdr:row>
      <xdr:rowOff>38100</xdr:rowOff>
    </xdr:from>
    <xdr:to>
      <xdr:col>11</xdr:col>
      <xdr:colOff>464820</xdr:colOff>
      <xdr:row>12</xdr:row>
      <xdr:rowOff>83820</xdr:rowOff>
    </xdr:to>
    <xdr:sp macro="" textlink="">
      <xdr:nvSpPr>
        <xdr:cNvPr id="2" name="Arrow: Left 1">
          <a:extLst>
            <a:ext uri="{FF2B5EF4-FFF2-40B4-BE49-F238E27FC236}">
              <a16:creationId xmlns:a16="http://schemas.microsoft.com/office/drawing/2014/main" id="{93DA2C18-2332-4132-9BA2-48B59C9A6521}"/>
            </a:ext>
          </a:extLst>
        </xdr:cNvPr>
        <xdr:cNvSpPr/>
      </xdr:nvSpPr>
      <xdr:spPr>
        <a:xfrm>
          <a:off x="5722620" y="22098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1</xdr:row>
      <xdr:rowOff>144780</xdr:rowOff>
    </xdr:from>
    <xdr:to>
      <xdr:col>13</xdr:col>
      <xdr:colOff>419100</xdr:colOff>
      <xdr:row>10</xdr:row>
      <xdr:rowOff>68580</xdr:rowOff>
    </xdr:to>
    <xdr:sp macro="" textlink="">
      <xdr:nvSpPr>
        <xdr:cNvPr id="2" name="Arrow: Left 1">
          <a:extLst>
            <a:ext uri="{FF2B5EF4-FFF2-40B4-BE49-F238E27FC236}">
              <a16:creationId xmlns:a16="http://schemas.microsoft.com/office/drawing/2014/main" id="{8FE89F82-F6EA-44D3-8F35-74F2EAF8B1B2}"/>
            </a:ext>
          </a:extLst>
        </xdr:cNvPr>
        <xdr:cNvSpPr/>
      </xdr:nvSpPr>
      <xdr:spPr>
        <a:xfrm>
          <a:off x="7909560" y="3276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5</xdr:row>
      <xdr:rowOff>0</xdr:rowOff>
    </xdr:from>
    <xdr:to>
      <xdr:col>9</xdr:col>
      <xdr:colOff>563880</xdr:colOff>
      <xdr:row>13</xdr:row>
      <xdr:rowOff>106680</xdr:rowOff>
    </xdr:to>
    <xdr:sp macro="" textlink="">
      <xdr:nvSpPr>
        <xdr:cNvPr id="2" name="Arrow: Left 1">
          <a:extLst>
            <a:ext uri="{FF2B5EF4-FFF2-40B4-BE49-F238E27FC236}">
              <a16:creationId xmlns:a16="http://schemas.microsoft.com/office/drawing/2014/main" id="{B54714A7-9B60-4192-950A-84D1E088227B}"/>
            </a:ext>
          </a:extLst>
        </xdr:cNvPr>
        <xdr:cNvSpPr/>
      </xdr:nvSpPr>
      <xdr:spPr>
        <a:xfrm>
          <a:off x="3360420" y="9144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480060</xdr:colOff>
      <xdr:row>1</xdr:row>
      <xdr:rowOff>175260</xdr:rowOff>
    </xdr:from>
    <xdr:to>
      <xdr:col>16</xdr:col>
      <xdr:colOff>144780</xdr:colOff>
      <xdr:row>14</xdr:row>
      <xdr:rowOff>83820</xdr:rowOff>
    </xdr:to>
    <xdr:sp macro="" textlink="">
      <xdr:nvSpPr>
        <xdr:cNvPr id="2" name="Arrow: Left 1">
          <a:extLst>
            <a:ext uri="{FF2B5EF4-FFF2-40B4-BE49-F238E27FC236}">
              <a16:creationId xmlns:a16="http://schemas.microsoft.com/office/drawing/2014/main" id="{E6565DF1-2E98-4590-8A84-494B9E0DE258}"/>
            </a:ext>
          </a:extLst>
        </xdr:cNvPr>
        <xdr:cNvSpPr/>
      </xdr:nvSpPr>
      <xdr:spPr>
        <a:xfrm>
          <a:off x="7101840" y="358140"/>
          <a:ext cx="531876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510540</xdr:colOff>
      <xdr:row>2</xdr:row>
      <xdr:rowOff>15240</xdr:rowOff>
    </xdr:from>
    <xdr:to>
      <xdr:col>13</xdr:col>
      <xdr:colOff>121920</xdr:colOff>
      <xdr:row>12</xdr:row>
      <xdr:rowOff>83820</xdr:rowOff>
    </xdr:to>
    <xdr:sp macro="" textlink="">
      <xdr:nvSpPr>
        <xdr:cNvPr id="2" name="Arrow: Left 1">
          <a:extLst>
            <a:ext uri="{FF2B5EF4-FFF2-40B4-BE49-F238E27FC236}">
              <a16:creationId xmlns:a16="http://schemas.microsoft.com/office/drawing/2014/main" id="{D6FF89BB-B1AB-4C17-968D-5C80135C14CD}"/>
            </a:ext>
          </a:extLst>
        </xdr:cNvPr>
        <xdr:cNvSpPr/>
      </xdr:nvSpPr>
      <xdr:spPr>
        <a:xfrm>
          <a:off x="3810000" y="381000"/>
          <a:ext cx="5097780" cy="189738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3</xdr:row>
      <xdr:rowOff>0</xdr:rowOff>
    </xdr:from>
    <xdr:to>
      <xdr:col>13</xdr:col>
      <xdr:colOff>320040</xdr:colOff>
      <xdr:row>12</xdr:row>
      <xdr:rowOff>129540</xdr:rowOff>
    </xdr:to>
    <xdr:sp macro="" textlink="">
      <xdr:nvSpPr>
        <xdr:cNvPr id="2" name="Arrow: Left 1">
          <a:extLst>
            <a:ext uri="{FF2B5EF4-FFF2-40B4-BE49-F238E27FC236}">
              <a16:creationId xmlns:a16="http://schemas.microsoft.com/office/drawing/2014/main" id="{7ED3E836-E4A4-481D-8FD6-F6C1DE568877}"/>
            </a:ext>
          </a:extLst>
        </xdr:cNvPr>
        <xdr:cNvSpPr/>
      </xdr:nvSpPr>
      <xdr:spPr>
        <a:xfrm>
          <a:off x="4876800" y="54864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121920</xdr:colOff>
      <xdr:row>0</xdr:row>
      <xdr:rowOff>76200</xdr:rowOff>
    </xdr:from>
    <xdr:to>
      <xdr:col>14</xdr:col>
      <xdr:colOff>586740</xdr:colOff>
      <xdr:row>10</xdr:row>
      <xdr:rowOff>22860</xdr:rowOff>
    </xdr:to>
    <xdr:sp macro="" textlink="">
      <xdr:nvSpPr>
        <xdr:cNvPr id="2" name="Arrow: Left 1">
          <a:extLst>
            <a:ext uri="{FF2B5EF4-FFF2-40B4-BE49-F238E27FC236}">
              <a16:creationId xmlns:a16="http://schemas.microsoft.com/office/drawing/2014/main" id="{C05D1436-9065-4F4D-83BC-F5DACD728219}"/>
            </a:ext>
          </a:extLst>
        </xdr:cNvPr>
        <xdr:cNvSpPr/>
      </xdr:nvSpPr>
      <xdr:spPr>
        <a:xfrm>
          <a:off x="4998720" y="7620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workbookViewId="0">
      <selection activeCell="D27" sqref="D27"/>
    </sheetView>
  </sheetViews>
  <sheetFormatPr defaultRowHeight="14.4" x14ac:dyDescent="0.3"/>
  <cols>
    <col min="2" max="2" width="6.6640625" bestFit="1" customWidth="1"/>
    <col min="3" max="3" width="6.88671875" bestFit="1" customWidth="1"/>
    <col min="4" max="4" width="11.33203125" bestFit="1" customWidth="1"/>
    <col min="5" max="5" width="5.109375" bestFit="1" customWidth="1"/>
    <col min="6" max="6" width="7.88671875" bestFit="1" customWidth="1"/>
    <col min="7" max="7" width="7.21875" bestFit="1" customWidth="1"/>
  </cols>
  <sheetData>
    <row r="2" spans="2:7" x14ac:dyDescent="0.3">
      <c r="B2" s="1" t="s">
        <v>0</v>
      </c>
      <c r="C2" s="1" t="s">
        <v>1</v>
      </c>
      <c r="D2" s="1" t="s">
        <v>2</v>
      </c>
      <c r="E2" s="1" t="s">
        <v>3</v>
      </c>
      <c r="F2" s="1" t="s">
        <v>4</v>
      </c>
      <c r="G2" s="1" t="s">
        <v>5</v>
      </c>
    </row>
    <row r="3" spans="2:7" x14ac:dyDescent="0.3">
      <c r="B3" s="2" t="s">
        <v>6</v>
      </c>
      <c r="C3" s="3" t="s">
        <v>16</v>
      </c>
      <c r="D3" s="3" t="s">
        <v>26</v>
      </c>
      <c r="E3" s="3">
        <f>HOUR(D3)</f>
        <v>6</v>
      </c>
      <c r="F3" s="3">
        <f>MINUTE(D3)</f>
        <v>16</v>
      </c>
      <c r="G3" s="4">
        <f>SECOND(D3)</f>
        <v>28</v>
      </c>
    </row>
    <row r="4" spans="2:7" x14ac:dyDescent="0.3">
      <c r="B4" s="5" t="s">
        <v>7</v>
      </c>
      <c r="C4" s="6" t="s">
        <v>17</v>
      </c>
      <c r="D4" s="6" t="s">
        <v>27</v>
      </c>
      <c r="E4" s="3">
        <f t="shared" ref="E4:E12" si="0">HOUR(D4)</f>
        <v>9</v>
      </c>
      <c r="F4" s="3">
        <f t="shared" ref="F4:F12" si="1">MINUTE(D4)</f>
        <v>49</v>
      </c>
      <c r="G4" s="4">
        <f t="shared" ref="G4:G12" si="2">SECOND(D4)</f>
        <v>5</v>
      </c>
    </row>
    <row r="5" spans="2:7" x14ac:dyDescent="0.3">
      <c r="B5" s="5" t="s">
        <v>8</v>
      </c>
      <c r="C5" s="6" t="s">
        <v>18</v>
      </c>
      <c r="D5" s="6" t="s">
        <v>28</v>
      </c>
      <c r="E5" s="3">
        <f t="shared" si="0"/>
        <v>9</v>
      </c>
      <c r="F5" s="3">
        <f t="shared" si="1"/>
        <v>2</v>
      </c>
      <c r="G5" s="4">
        <f t="shared" si="2"/>
        <v>56</v>
      </c>
    </row>
    <row r="6" spans="2:7" x14ac:dyDescent="0.3">
      <c r="B6" s="5" t="s">
        <v>9</v>
      </c>
      <c r="C6" s="6" t="s">
        <v>19</v>
      </c>
      <c r="D6" s="6" t="s">
        <v>29</v>
      </c>
      <c r="E6" s="3">
        <f t="shared" si="0"/>
        <v>11</v>
      </c>
      <c r="F6" s="3">
        <f t="shared" si="1"/>
        <v>18</v>
      </c>
      <c r="G6" s="4">
        <f t="shared" si="2"/>
        <v>42</v>
      </c>
    </row>
    <row r="7" spans="2:7" x14ac:dyDescent="0.3">
      <c r="B7" s="5" t="s">
        <v>10</v>
      </c>
      <c r="C7" s="6" t="s">
        <v>20</v>
      </c>
      <c r="D7" s="6" t="s">
        <v>30</v>
      </c>
      <c r="E7" s="3">
        <f t="shared" si="0"/>
        <v>6</v>
      </c>
      <c r="F7" s="3">
        <f t="shared" si="1"/>
        <v>7</v>
      </c>
      <c r="G7" s="4">
        <f t="shared" si="2"/>
        <v>29</v>
      </c>
    </row>
    <row r="8" spans="2:7" x14ac:dyDescent="0.3">
      <c r="B8" s="5" t="s">
        <v>11</v>
      </c>
      <c r="C8" s="6" t="s">
        <v>21</v>
      </c>
      <c r="D8" s="6" t="s">
        <v>31</v>
      </c>
      <c r="E8" s="3">
        <f t="shared" si="0"/>
        <v>11</v>
      </c>
      <c r="F8" s="3">
        <f t="shared" si="1"/>
        <v>55</v>
      </c>
      <c r="G8" s="4">
        <f t="shared" si="2"/>
        <v>59</v>
      </c>
    </row>
    <row r="9" spans="2:7" x14ac:dyDescent="0.3">
      <c r="B9" s="5" t="s">
        <v>12</v>
      </c>
      <c r="C9" s="6" t="s">
        <v>22</v>
      </c>
      <c r="D9" s="6" t="s">
        <v>32</v>
      </c>
      <c r="E9" s="3">
        <f t="shared" si="0"/>
        <v>6</v>
      </c>
      <c r="F9" s="3">
        <f t="shared" si="1"/>
        <v>20</v>
      </c>
      <c r="G9" s="4">
        <f t="shared" si="2"/>
        <v>24</v>
      </c>
    </row>
    <row r="10" spans="2:7" x14ac:dyDescent="0.3">
      <c r="B10" s="5" t="s">
        <v>13</v>
      </c>
      <c r="C10" s="6" t="s">
        <v>23</v>
      </c>
      <c r="D10" s="6" t="s">
        <v>33</v>
      </c>
      <c r="E10" s="3">
        <f t="shared" si="0"/>
        <v>9</v>
      </c>
      <c r="F10" s="3">
        <f t="shared" si="1"/>
        <v>37</v>
      </c>
      <c r="G10" s="4">
        <f t="shared" si="2"/>
        <v>42</v>
      </c>
    </row>
    <row r="11" spans="2:7" x14ac:dyDescent="0.3">
      <c r="B11" s="5" t="s">
        <v>14</v>
      </c>
      <c r="C11" s="6" t="s">
        <v>24</v>
      </c>
      <c r="D11" s="6" t="s">
        <v>34</v>
      </c>
      <c r="E11" s="3">
        <f t="shared" si="0"/>
        <v>8</v>
      </c>
      <c r="F11" s="3">
        <f t="shared" si="1"/>
        <v>24</v>
      </c>
      <c r="G11" s="4">
        <f t="shared" si="2"/>
        <v>34</v>
      </c>
    </row>
    <row r="12" spans="2:7" x14ac:dyDescent="0.3">
      <c r="B12" s="7" t="s">
        <v>15</v>
      </c>
      <c r="C12" s="8" t="s">
        <v>25</v>
      </c>
      <c r="D12" s="8" t="s">
        <v>35</v>
      </c>
      <c r="E12" s="3">
        <f t="shared" si="0"/>
        <v>10</v>
      </c>
      <c r="F12" s="3">
        <f t="shared" si="1"/>
        <v>17</v>
      </c>
      <c r="G12" s="4">
        <f t="shared" si="2"/>
        <v>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2"/>
  <sheetViews>
    <sheetView workbookViewId="0">
      <selection activeCell="F4" sqref="F4"/>
    </sheetView>
  </sheetViews>
  <sheetFormatPr defaultRowHeight="14.4" x14ac:dyDescent="0.3"/>
  <cols>
    <col min="2" max="2" width="6.6640625" bestFit="1" customWidth="1"/>
    <col min="3" max="3" width="6.88671875" bestFit="1" customWidth="1"/>
    <col min="4" max="4" width="11.33203125" bestFit="1" customWidth="1"/>
    <col min="5" max="5" width="12" bestFit="1" customWidth="1"/>
    <col min="6" max="6" width="13.5546875" bestFit="1" customWidth="1"/>
  </cols>
  <sheetData>
    <row r="2" spans="2:6" x14ac:dyDescent="0.3">
      <c r="B2" s="1" t="s">
        <v>0</v>
      </c>
      <c r="C2" s="1" t="s">
        <v>1</v>
      </c>
      <c r="D2" s="1" t="s">
        <v>2</v>
      </c>
      <c r="E2" s="1" t="s">
        <v>36</v>
      </c>
      <c r="F2" s="1" t="s">
        <v>37</v>
      </c>
    </row>
    <row r="3" spans="2:6" x14ac:dyDescent="0.3">
      <c r="B3" s="2" t="s">
        <v>6</v>
      </c>
      <c r="C3" s="3" t="s">
        <v>16</v>
      </c>
      <c r="D3" s="3" t="s">
        <v>38</v>
      </c>
      <c r="E3" s="3" t="s">
        <v>48</v>
      </c>
      <c r="F3" s="4">
        <f>IF(E3 &lt; D3, (E3 + 1 - D3) * 24, (E3 - D3) * 24)</f>
        <v>4.110833333333332</v>
      </c>
    </row>
    <row r="4" spans="2:6" x14ac:dyDescent="0.3">
      <c r="B4" s="5" t="s">
        <v>7</v>
      </c>
      <c r="C4" s="6" t="s">
        <v>17</v>
      </c>
      <c r="D4" s="6" t="s">
        <v>39</v>
      </c>
      <c r="E4" s="6" t="s">
        <v>49</v>
      </c>
      <c r="F4" s="4">
        <f>IF(E4 &lt; D4, (E4 + 1 - D4) * 24, (E4 - D4) * 24)</f>
        <v>34.100555555555559</v>
      </c>
    </row>
    <row r="5" spans="2:6" x14ac:dyDescent="0.3">
      <c r="B5" s="5" t="s">
        <v>8</v>
      </c>
      <c r="C5" s="6" t="s">
        <v>18</v>
      </c>
      <c r="D5" s="6" t="s">
        <v>40</v>
      </c>
      <c r="E5" s="6" t="s">
        <v>50</v>
      </c>
      <c r="F5" s="4">
        <f t="shared" ref="F4:F12" si="0">IF(E5 &lt; D5, (E5 + 1 - D5) * 24, (E5 - D5) * 24)</f>
        <v>35.394999999999996</v>
      </c>
    </row>
    <row r="6" spans="2:6" x14ac:dyDescent="0.3">
      <c r="B6" s="5" t="s">
        <v>9</v>
      </c>
      <c r="C6" s="6" t="s">
        <v>19</v>
      </c>
      <c r="D6" s="6" t="s">
        <v>41</v>
      </c>
      <c r="E6" s="6" t="s">
        <v>51</v>
      </c>
      <c r="F6" s="4">
        <f t="shared" si="0"/>
        <v>6.4272222222222233</v>
      </c>
    </row>
    <row r="7" spans="2:6" x14ac:dyDescent="0.3">
      <c r="B7" s="5" t="s">
        <v>10</v>
      </c>
      <c r="C7" s="6" t="s">
        <v>20</v>
      </c>
      <c r="D7" s="6" t="s">
        <v>42</v>
      </c>
      <c r="E7" s="6" t="s">
        <v>52</v>
      </c>
      <c r="F7" s="4">
        <f t="shared" si="0"/>
        <v>29.597499999999997</v>
      </c>
    </row>
    <row r="8" spans="2:6" x14ac:dyDescent="0.3">
      <c r="B8" s="5" t="s">
        <v>11</v>
      </c>
      <c r="C8" s="6" t="s">
        <v>21</v>
      </c>
      <c r="D8" s="6" t="s">
        <v>43</v>
      </c>
      <c r="E8" s="6" t="s">
        <v>53</v>
      </c>
      <c r="F8" s="4">
        <f t="shared" si="0"/>
        <v>33.102222222222224</v>
      </c>
    </row>
    <row r="9" spans="2:6" x14ac:dyDescent="0.3">
      <c r="B9" s="5" t="s">
        <v>12</v>
      </c>
      <c r="C9" s="6" t="s">
        <v>22</v>
      </c>
      <c r="D9" s="6" t="s">
        <v>44</v>
      </c>
      <c r="E9" s="6" t="s">
        <v>54</v>
      </c>
      <c r="F9" s="4">
        <f t="shared" si="0"/>
        <v>10.020277777777778</v>
      </c>
    </row>
    <row r="10" spans="2:6" x14ac:dyDescent="0.3">
      <c r="B10" s="5" t="s">
        <v>13</v>
      </c>
      <c r="C10" s="6" t="s">
        <v>23</v>
      </c>
      <c r="D10" s="6" t="s">
        <v>45</v>
      </c>
      <c r="E10" s="6" t="s">
        <v>55</v>
      </c>
      <c r="F10" s="4">
        <f t="shared" si="0"/>
        <v>11.1525</v>
      </c>
    </row>
    <row r="11" spans="2:6" x14ac:dyDescent="0.3">
      <c r="B11" s="5" t="s">
        <v>14</v>
      </c>
      <c r="C11" s="6" t="s">
        <v>24</v>
      </c>
      <c r="D11" s="6" t="s">
        <v>46</v>
      </c>
      <c r="E11" s="6" t="s">
        <v>56</v>
      </c>
      <c r="F11" s="4">
        <f t="shared" si="0"/>
        <v>26.603055555555553</v>
      </c>
    </row>
    <row r="12" spans="2:6" x14ac:dyDescent="0.3">
      <c r="B12" s="7" t="s">
        <v>15</v>
      </c>
      <c r="C12" s="8" t="s">
        <v>25</v>
      </c>
      <c r="D12" s="8" t="s">
        <v>47</v>
      </c>
      <c r="E12" s="8" t="s">
        <v>57</v>
      </c>
      <c r="F12" s="13">
        <f t="shared" si="0"/>
        <v>30.495000000000005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2"/>
  <sheetViews>
    <sheetView workbookViewId="0">
      <selection activeCell="H4" sqref="H4"/>
    </sheetView>
  </sheetViews>
  <sheetFormatPr defaultRowHeight="14.4" x14ac:dyDescent="0.3"/>
  <cols>
    <col min="2" max="2" width="6.6640625" bestFit="1" customWidth="1"/>
    <col min="3" max="3" width="6.88671875" bestFit="1" customWidth="1"/>
    <col min="4" max="4" width="13.5546875" bestFit="1" customWidth="1"/>
    <col min="5" max="5" width="4.21875" bestFit="1" customWidth="1"/>
    <col min="6" max="6" width="6.77734375" bestFit="1" customWidth="1"/>
    <col min="7" max="7" width="4.6640625" bestFit="1" customWidth="1"/>
    <col min="8" max="8" width="20.88671875" bestFit="1" customWidth="1"/>
  </cols>
  <sheetData>
    <row r="2" spans="2:8" x14ac:dyDescent="0.3">
      <c r="B2" s="1" t="s">
        <v>0</v>
      </c>
      <c r="C2" s="1" t="s">
        <v>1</v>
      </c>
      <c r="D2" s="1" t="s">
        <v>58</v>
      </c>
      <c r="E2" s="1" t="s">
        <v>59</v>
      </c>
      <c r="F2" s="1" t="s">
        <v>60</v>
      </c>
      <c r="G2" s="1" t="s">
        <v>61</v>
      </c>
      <c r="H2" s="1" t="s">
        <v>62</v>
      </c>
    </row>
    <row r="3" spans="2:8" x14ac:dyDescent="0.3">
      <c r="B3" s="2" t="s">
        <v>6</v>
      </c>
      <c r="C3" s="3" t="s">
        <v>16</v>
      </c>
      <c r="D3" s="3" t="s">
        <v>63</v>
      </c>
      <c r="E3" s="3" t="str">
        <f>TEXT(D3,"dd")</f>
        <v>18</v>
      </c>
      <c r="F3" s="3" t="str">
        <f>TEXT(D3, "MM")</f>
        <v>02</v>
      </c>
      <c r="G3" s="3" t="str">
        <f>TEXT(D3, "YYYY")</f>
        <v>2018</v>
      </c>
      <c r="H3" s="4">
        <f ca="1">INT((TODAY() - D3)/365)</f>
        <v>7</v>
      </c>
    </row>
    <row r="4" spans="2:8" x14ac:dyDescent="0.3">
      <c r="B4" s="5" t="s">
        <v>7</v>
      </c>
      <c r="C4" s="6" t="s">
        <v>17</v>
      </c>
      <c r="D4" s="6" t="s">
        <v>64</v>
      </c>
      <c r="E4" s="3" t="str">
        <f t="shared" ref="E4:E12" si="0">TEXT(D4,"dd")</f>
        <v>21</v>
      </c>
      <c r="F4" s="3" t="str">
        <f t="shared" ref="F4:F12" si="1">TEXT(D4, "MM")</f>
        <v>01</v>
      </c>
      <c r="G4" s="3" t="str">
        <f t="shared" ref="G4:G12" si="2">TEXT(D4, "YYYY")</f>
        <v>2019</v>
      </c>
      <c r="H4" s="4">
        <f t="shared" ref="H4:H12" ca="1" si="3">INT((TODAY() - D4)/365)</f>
        <v>6</v>
      </c>
    </row>
    <row r="5" spans="2:8" x14ac:dyDescent="0.3">
      <c r="B5" s="5" t="s">
        <v>8</v>
      </c>
      <c r="C5" s="6" t="s">
        <v>18</v>
      </c>
      <c r="D5" s="6" t="s">
        <v>65</v>
      </c>
      <c r="E5" s="3" t="str">
        <f t="shared" si="0"/>
        <v>01</v>
      </c>
      <c r="F5" s="3" t="str">
        <f t="shared" si="1"/>
        <v>01</v>
      </c>
      <c r="G5" s="3" t="str">
        <f t="shared" si="2"/>
        <v>2019</v>
      </c>
      <c r="H5" s="4">
        <f t="shared" ca="1" si="3"/>
        <v>6</v>
      </c>
    </row>
    <row r="6" spans="2:8" x14ac:dyDescent="0.3">
      <c r="B6" s="5" t="s">
        <v>9</v>
      </c>
      <c r="C6" s="6" t="s">
        <v>19</v>
      </c>
      <c r="D6" s="6" t="s">
        <v>66</v>
      </c>
      <c r="E6" s="3" t="str">
        <f t="shared" si="0"/>
        <v>23</v>
      </c>
      <c r="F6" s="3" t="str">
        <f t="shared" si="1"/>
        <v>05</v>
      </c>
      <c r="G6" s="3" t="str">
        <f t="shared" si="2"/>
        <v>2023</v>
      </c>
      <c r="H6" s="4">
        <f t="shared" ca="1" si="3"/>
        <v>2</v>
      </c>
    </row>
    <row r="7" spans="2:8" x14ac:dyDescent="0.3">
      <c r="B7" s="5" t="s">
        <v>10</v>
      </c>
      <c r="C7" s="6" t="s">
        <v>20</v>
      </c>
      <c r="D7" s="6" t="s">
        <v>67</v>
      </c>
      <c r="E7" s="3" t="str">
        <f t="shared" si="0"/>
        <v>17</v>
      </c>
      <c r="F7" s="3" t="str">
        <f t="shared" si="1"/>
        <v>06</v>
      </c>
      <c r="G7" s="3" t="str">
        <f t="shared" si="2"/>
        <v>2023</v>
      </c>
      <c r="H7" s="4">
        <f t="shared" ca="1" si="3"/>
        <v>2</v>
      </c>
    </row>
    <row r="8" spans="2:8" x14ac:dyDescent="0.3">
      <c r="B8" s="5" t="s">
        <v>11</v>
      </c>
      <c r="C8" s="6" t="s">
        <v>21</v>
      </c>
      <c r="D8" s="6" t="s">
        <v>68</v>
      </c>
      <c r="E8" s="3" t="str">
        <f t="shared" si="0"/>
        <v>09</v>
      </c>
      <c r="F8" s="3" t="str">
        <f t="shared" si="1"/>
        <v>06</v>
      </c>
      <c r="G8" s="3" t="str">
        <f t="shared" si="2"/>
        <v>2022</v>
      </c>
      <c r="H8" s="4">
        <f t="shared" ca="1" si="3"/>
        <v>3</v>
      </c>
    </row>
    <row r="9" spans="2:8" x14ac:dyDescent="0.3">
      <c r="B9" s="5" t="s">
        <v>12</v>
      </c>
      <c r="C9" s="6" t="s">
        <v>22</v>
      </c>
      <c r="D9" s="6" t="s">
        <v>69</v>
      </c>
      <c r="E9" s="3" t="str">
        <f t="shared" si="0"/>
        <v>18</v>
      </c>
      <c r="F9" s="3" t="str">
        <f t="shared" si="1"/>
        <v>03</v>
      </c>
      <c r="G9" s="3" t="str">
        <f t="shared" si="2"/>
        <v>2022</v>
      </c>
      <c r="H9" s="4">
        <f t="shared" ca="1" si="3"/>
        <v>3</v>
      </c>
    </row>
    <row r="10" spans="2:8" x14ac:dyDescent="0.3">
      <c r="B10" s="5" t="s">
        <v>13</v>
      </c>
      <c r="C10" s="6" t="s">
        <v>23</v>
      </c>
      <c r="D10" s="6" t="s">
        <v>70</v>
      </c>
      <c r="E10" s="3" t="str">
        <f t="shared" si="0"/>
        <v>29</v>
      </c>
      <c r="F10" s="3" t="str">
        <f t="shared" si="1"/>
        <v>06</v>
      </c>
      <c r="G10" s="3" t="str">
        <f t="shared" si="2"/>
        <v>2021</v>
      </c>
      <c r="H10" s="4">
        <f t="shared" ca="1" si="3"/>
        <v>4</v>
      </c>
    </row>
    <row r="11" spans="2:8" x14ac:dyDescent="0.3">
      <c r="B11" s="5" t="s">
        <v>14</v>
      </c>
      <c r="C11" s="6" t="s">
        <v>24</v>
      </c>
      <c r="D11" s="6" t="s">
        <v>71</v>
      </c>
      <c r="E11" s="3" t="str">
        <f t="shared" si="0"/>
        <v>01</v>
      </c>
      <c r="F11" s="3" t="str">
        <f t="shared" si="1"/>
        <v>11</v>
      </c>
      <c r="G11" s="3" t="str">
        <f t="shared" si="2"/>
        <v>2021</v>
      </c>
      <c r="H11" s="4">
        <f t="shared" ca="1" si="3"/>
        <v>4</v>
      </c>
    </row>
    <row r="12" spans="2:8" x14ac:dyDescent="0.3">
      <c r="B12" s="7" t="s">
        <v>15</v>
      </c>
      <c r="C12" s="8" t="s">
        <v>25</v>
      </c>
      <c r="D12" s="8" t="s">
        <v>72</v>
      </c>
      <c r="E12" s="3" t="str">
        <f t="shared" si="0"/>
        <v>02</v>
      </c>
      <c r="F12" s="3" t="str">
        <f t="shared" si="1"/>
        <v>07</v>
      </c>
      <c r="G12" s="3" t="str">
        <f t="shared" si="2"/>
        <v>2022</v>
      </c>
      <c r="H12" s="4">
        <f t="shared" ca="1" si="3"/>
        <v>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2"/>
  <sheetViews>
    <sheetView workbookViewId="0">
      <selection activeCell="D17" sqref="D17"/>
    </sheetView>
  </sheetViews>
  <sheetFormatPr defaultRowHeight="14.4" x14ac:dyDescent="0.3"/>
  <cols>
    <col min="2" max="2" width="20.44140625" bestFit="1" customWidth="1"/>
    <col min="3" max="3" width="13.5546875" bestFit="1" customWidth="1"/>
    <col min="4" max="4" width="24.109375" bestFit="1" customWidth="1"/>
  </cols>
  <sheetData>
    <row r="2" spans="2:4" x14ac:dyDescent="0.3">
      <c r="B2" s="1" t="s">
        <v>73</v>
      </c>
      <c r="C2" s="1" t="s">
        <v>58</v>
      </c>
      <c r="D2" s="1" t="s">
        <v>74</v>
      </c>
    </row>
    <row r="3" spans="2:4" x14ac:dyDescent="0.3">
      <c r="B3" s="2" t="s">
        <v>75</v>
      </c>
      <c r="C3" s="3" t="s">
        <v>85</v>
      </c>
      <c r="D3" s="15">
        <f>EDATE(C3, 3)</f>
        <v>44458</v>
      </c>
    </row>
    <row r="4" spans="2:4" x14ac:dyDescent="0.3">
      <c r="B4" s="5" t="s">
        <v>76</v>
      </c>
      <c r="C4" s="6" t="s">
        <v>86</v>
      </c>
      <c r="D4" s="15">
        <f t="shared" ref="D4:D12" si="0">EDATE(C4, 3)</f>
        <v>45123</v>
      </c>
    </row>
    <row r="5" spans="2:4" x14ac:dyDescent="0.3">
      <c r="B5" s="5" t="s">
        <v>77</v>
      </c>
      <c r="C5" s="6" t="s">
        <v>87</v>
      </c>
      <c r="D5" s="15">
        <f t="shared" si="0"/>
        <v>43531</v>
      </c>
    </row>
    <row r="6" spans="2:4" x14ac:dyDescent="0.3">
      <c r="B6" s="5" t="s">
        <v>78</v>
      </c>
      <c r="C6" s="6" t="s">
        <v>88</v>
      </c>
      <c r="D6" s="15">
        <f t="shared" si="0"/>
        <v>43692</v>
      </c>
    </row>
    <row r="7" spans="2:4" x14ac:dyDescent="0.3">
      <c r="B7" s="5" t="s">
        <v>79</v>
      </c>
      <c r="C7" s="6" t="s">
        <v>89</v>
      </c>
      <c r="D7" s="15">
        <f t="shared" si="0"/>
        <v>45029</v>
      </c>
    </row>
    <row r="8" spans="2:4" x14ac:dyDescent="0.3">
      <c r="B8" s="5" t="s">
        <v>80</v>
      </c>
      <c r="C8" s="6" t="s">
        <v>90</v>
      </c>
      <c r="D8" s="15">
        <f t="shared" si="0"/>
        <v>43782</v>
      </c>
    </row>
    <row r="9" spans="2:4" x14ac:dyDescent="0.3">
      <c r="B9" s="5" t="s">
        <v>81</v>
      </c>
      <c r="C9" s="6" t="s">
        <v>91</v>
      </c>
      <c r="D9" s="15">
        <f t="shared" si="0"/>
        <v>43661</v>
      </c>
    </row>
    <row r="10" spans="2:4" x14ac:dyDescent="0.3">
      <c r="B10" s="5" t="s">
        <v>82</v>
      </c>
      <c r="C10" s="6" t="s">
        <v>92</v>
      </c>
      <c r="D10" s="15">
        <f t="shared" si="0"/>
        <v>43694</v>
      </c>
    </row>
    <row r="11" spans="2:4" x14ac:dyDescent="0.3">
      <c r="B11" s="5" t="s">
        <v>83</v>
      </c>
      <c r="C11" s="6" t="s">
        <v>93</v>
      </c>
      <c r="D11" s="15">
        <f t="shared" si="0"/>
        <v>44239</v>
      </c>
    </row>
    <row r="12" spans="2:4" x14ac:dyDescent="0.3">
      <c r="B12" s="7" t="s">
        <v>84</v>
      </c>
      <c r="C12" s="8" t="s">
        <v>94</v>
      </c>
      <c r="D12" s="15">
        <f t="shared" si="0"/>
        <v>43645</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2"/>
  <sheetViews>
    <sheetView workbookViewId="0">
      <selection activeCell="F17" sqref="F17"/>
    </sheetView>
  </sheetViews>
  <sheetFormatPr defaultRowHeight="14.4" x14ac:dyDescent="0.3"/>
  <cols>
    <col min="2" max="2" width="20.44140625" bestFit="1" customWidth="1"/>
    <col min="3" max="3" width="13.5546875" bestFit="1" customWidth="1"/>
    <col min="4" max="4" width="24.109375" bestFit="1" customWidth="1"/>
    <col min="5" max="5" width="11.6640625" bestFit="1" customWidth="1"/>
    <col min="6" max="6" width="23.88671875" bestFit="1" customWidth="1"/>
  </cols>
  <sheetData>
    <row r="2" spans="2:6" x14ac:dyDescent="0.3">
      <c r="B2" s="1" t="s">
        <v>73</v>
      </c>
      <c r="C2" s="1" t="s">
        <v>58</v>
      </c>
      <c r="D2" s="1" t="s">
        <v>74</v>
      </c>
      <c r="E2" s="1" t="s">
        <v>95</v>
      </c>
      <c r="F2" s="1" t="s">
        <v>96</v>
      </c>
    </row>
    <row r="3" spans="2:6" x14ac:dyDescent="0.3">
      <c r="B3" s="2" t="s">
        <v>75</v>
      </c>
      <c r="C3" s="3" t="s">
        <v>85</v>
      </c>
      <c r="D3" s="16">
        <f>EDATE(C3, 3)</f>
        <v>44458</v>
      </c>
      <c r="E3" s="3" t="s">
        <v>97</v>
      </c>
      <c r="F3" s="17">
        <f>E3-C3</f>
        <v>1494</v>
      </c>
    </row>
    <row r="4" spans="2:6" x14ac:dyDescent="0.3">
      <c r="B4" s="5" t="s">
        <v>76</v>
      </c>
      <c r="C4" s="6" t="s">
        <v>86</v>
      </c>
      <c r="D4" s="16">
        <f t="shared" ref="D4:D12" si="0">EDATE(C4, 3)</f>
        <v>45123</v>
      </c>
      <c r="E4" s="6" t="s">
        <v>97</v>
      </c>
      <c r="F4" s="17">
        <f t="shared" ref="F4:F12" si="1">E4-C4</f>
        <v>828</v>
      </c>
    </row>
    <row r="5" spans="2:6" x14ac:dyDescent="0.3">
      <c r="B5" s="5" t="s">
        <v>77</v>
      </c>
      <c r="C5" s="6" t="s">
        <v>87</v>
      </c>
      <c r="D5" s="16">
        <f t="shared" si="0"/>
        <v>43531</v>
      </c>
      <c r="E5" s="6" t="s">
        <v>97</v>
      </c>
      <c r="F5" s="17">
        <f t="shared" si="1"/>
        <v>2419</v>
      </c>
    </row>
    <row r="6" spans="2:6" x14ac:dyDescent="0.3">
      <c r="B6" s="5" t="s">
        <v>78</v>
      </c>
      <c r="C6" s="6" t="s">
        <v>88</v>
      </c>
      <c r="D6" s="16">
        <f t="shared" si="0"/>
        <v>43692</v>
      </c>
      <c r="E6" s="6" t="s">
        <v>97</v>
      </c>
      <c r="F6" s="17">
        <f t="shared" si="1"/>
        <v>2260</v>
      </c>
    </row>
    <row r="7" spans="2:6" x14ac:dyDescent="0.3">
      <c r="B7" s="5" t="s">
        <v>79</v>
      </c>
      <c r="C7" s="6" t="s">
        <v>89</v>
      </c>
      <c r="D7" s="16">
        <f t="shared" si="0"/>
        <v>45029</v>
      </c>
      <c r="E7" s="6" t="s">
        <v>97</v>
      </c>
      <c r="F7" s="17">
        <f t="shared" si="1"/>
        <v>921</v>
      </c>
    </row>
    <row r="8" spans="2:6" x14ac:dyDescent="0.3">
      <c r="B8" s="5" t="s">
        <v>80</v>
      </c>
      <c r="C8" s="6" t="s">
        <v>90</v>
      </c>
      <c r="D8" s="16">
        <f t="shared" si="0"/>
        <v>43782</v>
      </c>
      <c r="E8" s="6" t="s">
        <v>97</v>
      </c>
      <c r="F8" s="17">
        <f t="shared" si="1"/>
        <v>2170</v>
      </c>
    </row>
    <row r="9" spans="2:6" x14ac:dyDescent="0.3">
      <c r="B9" s="5" t="s">
        <v>81</v>
      </c>
      <c r="C9" s="6" t="s">
        <v>91</v>
      </c>
      <c r="D9" s="16">
        <f t="shared" si="0"/>
        <v>43661</v>
      </c>
      <c r="E9" s="6" t="s">
        <v>97</v>
      </c>
      <c r="F9" s="17">
        <f t="shared" si="1"/>
        <v>2290</v>
      </c>
    </row>
    <row r="10" spans="2:6" x14ac:dyDescent="0.3">
      <c r="B10" s="5" t="s">
        <v>82</v>
      </c>
      <c r="C10" s="6" t="s">
        <v>92</v>
      </c>
      <c r="D10" s="16">
        <f t="shared" si="0"/>
        <v>43694</v>
      </c>
      <c r="E10" s="6" t="s">
        <v>97</v>
      </c>
      <c r="F10" s="17">
        <f t="shared" si="1"/>
        <v>2258</v>
      </c>
    </row>
    <row r="11" spans="2:6" x14ac:dyDescent="0.3">
      <c r="B11" s="5" t="s">
        <v>83</v>
      </c>
      <c r="C11" s="6" t="s">
        <v>93</v>
      </c>
      <c r="D11" s="16">
        <f t="shared" si="0"/>
        <v>44239</v>
      </c>
      <c r="E11" s="6" t="s">
        <v>97</v>
      </c>
      <c r="F11" s="17">
        <f t="shared" si="1"/>
        <v>1713</v>
      </c>
    </row>
    <row r="12" spans="2:6" x14ac:dyDescent="0.3">
      <c r="B12" s="7" t="s">
        <v>84</v>
      </c>
      <c r="C12" s="8" t="s">
        <v>94</v>
      </c>
      <c r="D12" s="16">
        <f t="shared" si="0"/>
        <v>43645</v>
      </c>
      <c r="E12" s="8" t="s">
        <v>97</v>
      </c>
      <c r="F12" s="17">
        <f t="shared" si="1"/>
        <v>2307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workbookViewId="0">
      <selection activeCell="D17" sqref="D17"/>
    </sheetView>
  </sheetViews>
  <sheetFormatPr defaultRowHeight="14.4" x14ac:dyDescent="0.3"/>
  <cols>
    <col min="2" max="2" width="13.6640625" bestFit="1" customWidth="1"/>
    <col min="3" max="3" width="20.88671875" customWidth="1"/>
    <col min="6" max="6" width="13.6640625" bestFit="1" customWidth="1"/>
    <col min="7" max="7" width="15.88671875" bestFit="1" customWidth="1"/>
    <col min="11" max="11" width="31.44140625" bestFit="1" customWidth="1"/>
  </cols>
  <sheetData>
    <row r="2" spans="2:3" x14ac:dyDescent="0.3">
      <c r="B2" s="1" t="s">
        <v>98</v>
      </c>
      <c r="C2" s="1" t="s">
        <v>115</v>
      </c>
    </row>
    <row r="3" spans="2:3" x14ac:dyDescent="0.3">
      <c r="B3" s="2" t="s">
        <v>99</v>
      </c>
      <c r="C3" s="17" t="str">
        <f>TEXT(B3, "mmmm - yyyy")</f>
        <v>January - 2021</v>
      </c>
    </row>
    <row r="4" spans="2:3" x14ac:dyDescent="0.3">
      <c r="B4" s="5" t="s">
        <v>100</v>
      </c>
      <c r="C4" s="17" t="str">
        <f t="shared" ref="C4:C13" si="0">TEXT(B4, "mmmm - yyyy")</f>
        <v>March - 2021</v>
      </c>
    </row>
    <row r="5" spans="2:3" x14ac:dyDescent="0.3">
      <c r="B5" s="5" t="s">
        <v>101</v>
      </c>
      <c r="C5" s="17" t="str">
        <f t="shared" si="0"/>
        <v>May - 2021</v>
      </c>
    </row>
    <row r="6" spans="2:3" x14ac:dyDescent="0.3">
      <c r="B6" s="5" t="s">
        <v>102</v>
      </c>
      <c r="C6" s="17" t="str">
        <f t="shared" si="0"/>
        <v>July - 2021</v>
      </c>
    </row>
    <row r="7" spans="2:3" x14ac:dyDescent="0.3">
      <c r="B7" s="5" t="s">
        <v>103</v>
      </c>
      <c r="C7" s="17" t="str">
        <f t="shared" si="0"/>
        <v>September - 2021</v>
      </c>
    </row>
    <row r="8" spans="2:3" x14ac:dyDescent="0.3">
      <c r="B8" s="5" t="s">
        <v>104</v>
      </c>
      <c r="C8" s="17" t="str">
        <f t="shared" si="0"/>
        <v>November - 2021</v>
      </c>
    </row>
    <row r="9" spans="2:3" x14ac:dyDescent="0.3">
      <c r="B9" s="5" t="s">
        <v>105</v>
      </c>
      <c r="C9" s="17" t="str">
        <f t="shared" si="0"/>
        <v>January - 2022</v>
      </c>
    </row>
    <row r="10" spans="2:3" x14ac:dyDescent="0.3">
      <c r="B10" s="5" t="s">
        <v>106</v>
      </c>
      <c r="C10" s="17" t="str">
        <f t="shared" si="0"/>
        <v>March - 2022</v>
      </c>
    </row>
    <row r="11" spans="2:3" x14ac:dyDescent="0.3">
      <c r="B11" s="5" t="s">
        <v>107</v>
      </c>
      <c r="C11" s="17" t="str">
        <f t="shared" si="0"/>
        <v>May - 2022</v>
      </c>
    </row>
    <row r="12" spans="2:3" x14ac:dyDescent="0.3">
      <c r="B12" s="5" t="s">
        <v>108</v>
      </c>
      <c r="C12" s="17" t="str">
        <f t="shared" si="0"/>
        <v>July - 2022</v>
      </c>
    </row>
    <row r="13" spans="2:3" x14ac:dyDescent="0.3">
      <c r="B13" s="7" t="s">
        <v>109</v>
      </c>
      <c r="C13" s="17" t="str">
        <f t="shared" si="0"/>
        <v>September - 2022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D9B4-5D15-40DE-A1DC-07422F3FBDB2}">
  <dimension ref="B2:H17"/>
  <sheetViews>
    <sheetView workbookViewId="0">
      <selection activeCell="G5" sqref="G5"/>
    </sheetView>
  </sheetViews>
  <sheetFormatPr defaultRowHeight="14.4" x14ac:dyDescent="0.3"/>
  <cols>
    <col min="2" max="2" width="13.6640625" bestFit="1" customWidth="1"/>
    <col min="3" max="3" width="15.88671875" bestFit="1" customWidth="1"/>
    <col min="7" max="7" width="31.44140625" bestFit="1" customWidth="1"/>
    <col min="8" max="8" width="11.33203125" bestFit="1" customWidth="1"/>
  </cols>
  <sheetData>
    <row r="2" spans="2:8" x14ac:dyDescent="0.3">
      <c r="B2" s="1" t="s">
        <v>110</v>
      </c>
      <c r="C2" s="1" t="s">
        <v>111</v>
      </c>
    </row>
    <row r="3" spans="2:8" x14ac:dyDescent="0.3">
      <c r="B3" s="12" t="s">
        <v>113</v>
      </c>
      <c r="C3" s="13" t="s">
        <v>114</v>
      </c>
      <c r="G3" s="1" t="s">
        <v>112</v>
      </c>
    </row>
    <row r="4" spans="2:8" x14ac:dyDescent="0.3">
      <c r="G4" s="14">
        <f>NETWORKDAYS(B3,C3,B7:B17)</f>
        <v>513</v>
      </c>
      <c r="H4" t="s">
        <v>123</v>
      </c>
    </row>
    <row r="6" spans="2:8" x14ac:dyDescent="0.3">
      <c r="B6" s="1" t="s">
        <v>98</v>
      </c>
    </row>
    <row r="7" spans="2:8" x14ac:dyDescent="0.3">
      <c r="B7" s="9" t="s">
        <v>99</v>
      </c>
    </row>
    <row r="8" spans="2:8" x14ac:dyDescent="0.3">
      <c r="B8" s="10" t="s">
        <v>100</v>
      </c>
    </row>
    <row r="9" spans="2:8" x14ac:dyDescent="0.3">
      <c r="B9" s="10" t="s">
        <v>101</v>
      </c>
    </row>
    <row r="10" spans="2:8" x14ac:dyDescent="0.3">
      <c r="B10" s="10" t="s">
        <v>102</v>
      </c>
    </row>
    <row r="11" spans="2:8" x14ac:dyDescent="0.3">
      <c r="B11" s="10" t="s">
        <v>103</v>
      </c>
    </row>
    <row r="12" spans="2:8" x14ac:dyDescent="0.3">
      <c r="B12" s="10" t="s">
        <v>104</v>
      </c>
    </row>
    <row r="13" spans="2:8" x14ac:dyDescent="0.3">
      <c r="B13" s="10" t="s">
        <v>105</v>
      </c>
    </row>
    <row r="14" spans="2:8" x14ac:dyDescent="0.3">
      <c r="B14" s="10" t="s">
        <v>106</v>
      </c>
    </row>
    <row r="15" spans="2:8" x14ac:dyDescent="0.3">
      <c r="B15" s="10" t="s">
        <v>107</v>
      </c>
    </row>
    <row r="16" spans="2:8" x14ac:dyDescent="0.3">
      <c r="B16" s="10" t="s">
        <v>108</v>
      </c>
    </row>
    <row r="17" spans="2:2" x14ac:dyDescent="0.3">
      <c r="B17" s="11" t="s">
        <v>109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14"/>
  <sheetViews>
    <sheetView workbookViewId="0">
      <selection activeCell="E15" sqref="E15"/>
    </sheetView>
  </sheetViews>
  <sheetFormatPr defaultRowHeight="14.4" x14ac:dyDescent="0.3"/>
  <cols>
    <col min="2" max="2" width="11.88671875" bestFit="1" customWidth="1"/>
    <col min="3" max="3" width="16" customWidth="1"/>
    <col min="4" max="4" width="14.44140625" bestFit="1" customWidth="1"/>
  </cols>
  <sheetData>
    <row r="2" spans="2:4" x14ac:dyDescent="0.3">
      <c r="B2" s="1" t="s">
        <v>116</v>
      </c>
      <c r="C2" s="1" t="s">
        <v>117</v>
      </c>
      <c r="D2" s="1" t="s">
        <v>118</v>
      </c>
    </row>
    <row r="3" spans="2:4" x14ac:dyDescent="0.3">
      <c r="B3" s="2" t="s">
        <v>99</v>
      </c>
      <c r="C3" s="19">
        <f>EOMONTH(B3,0)</f>
        <v>44227</v>
      </c>
      <c r="D3" s="20">
        <f>EOMONTH(B3,0)</f>
        <v>44227</v>
      </c>
    </row>
    <row r="4" spans="2:4" x14ac:dyDescent="0.3">
      <c r="B4" s="5" t="s">
        <v>100</v>
      </c>
      <c r="C4" s="19">
        <f t="shared" ref="C4:C13" si="0">EOMONTH(B4,0)</f>
        <v>44286</v>
      </c>
      <c r="D4" s="20">
        <f t="shared" ref="D4:D14" si="1">EOMONTH(B4,0)</f>
        <v>44286</v>
      </c>
    </row>
    <row r="5" spans="2:4" x14ac:dyDescent="0.3">
      <c r="B5" s="5" t="s">
        <v>101</v>
      </c>
      <c r="C5" s="19">
        <f t="shared" si="0"/>
        <v>44347</v>
      </c>
      <c r="D5" s="20">
        <f t="shared" si="1"/>
        <v>44347</v>
      </c>
    </row>
    <row r="6" spans="2:4" x14ac:dyDescent="0.3">
      <c r="B6" s="5" t="s">
        <v>102</v>
      </c>
      <c r="C6" s="19">
        <f t="shared" si="0"/>
        <v>44408</v>
      </c>
      <c r="D6" s="20">
        <f t="shared" si="1"/>
        <v>44408</v>
      </c>
    </row>
    <row r="7" spans="2:4" x14ac:dyDescent="0.3">
      <c r="B7" s="5" t="s">
        <v>103</v>
      </c>
      <c r="C7" s="19">
        <f t="shared" si="0"/>
        <v>44469</v>
      </c>
      <c r="D7" s="20">
        <f t="shared" si="1"/>
        <v>44469</v>
      </c>
    </row>
    <row r="8" spans="2:4" x14ac:dyDescent="0.3">
      <c r="B8" s="5" t="s">
        <v>104</v>
      </c>
      <c r="C8" s="19">
        <f t="shared" si="0"/>
        <v>44530</v>
      </c>
      <c r="D8" s="20">
        <f t="shared" si="1"/>
        <v>44530</v>
      </c>
    </row>
    <row r="9" spans="2:4" x14ac:dyDescent="0.3">
      <c r="B9" s="5" t="s">
        <v>105</v>
      </c>
      <c r="C9" s="19">
        <f t="shared" si="0"/>
        <v>44592</v>
      </c>
      <c r="D9" s="20">
        <f t="shared" si="1"/>
        <v>44592</v>
      </c>
    </row>
    <row r="10" spans="2:4" x14ac:dyDescent="0.3">
      <c r="B10" s="5" t="s">
        <v>106</v>
      </c>
      <c r="C10" s="19">
        <f t="shared" si="0"/>
        <v>44651</v>
      </c>
      <c r="D10" s="20">
        <f t="shared" si="1"/>
        <v>44651</v>
      </c>
    </row>
    <row r="11" spans="2:4" x14ac:dyDescent="0.3">
      <c r="B11" s="5" t="s">
        <v>107</v>
      </c>
      <c r="C11" s="19">
        <f t="shared" si="0"/>
        <v>44712</v>
      </c>
      <c r="D11" s="20">
        <f t="shared" si="1"/>
        <v>44712</v>
      </c>
    </row>
    <row r="12" spans="2:4" x14ac:dyDescent="0.3">
      <c r="B12" s="5" t="s">
        <v>108</v>
      </c>
      <c r="C12" s="19">
        <f t="shared" si="0"/>
        <v>44773</v>
      </c>
      <c r="D12" s="20">
        <f t="shared" si="1"/>
        <v>44773</v>
      </c>
    </row>
    <row r="13" spans="2:4" x14ac:dyDescent="0.3">
      <c r="B13" s="7" t="s">
        <v>109</v>
      </c>
      <c r="C13" s="19">
        <f t="shared" si="0"/>
        <v>44834</v>
      </c>
      <c r="D13" s="20">
        <f t="shared" si="1"/>
        <v>44834</v>
      </c>
    </row>
    <row r="14" spans="2:4" x14ac:dyDescent="0.3">
      <c r="D14" s="1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election activeCell="E9" sqref="E9"/>
    </sheetView>
  </sheetViews>
  <sheetFormatPr defaultRowHeight="14.4" x14ac:dyDescent="0.3"/>
  <cols>
    <col min="1" max="1" width="6.88671875" bestFit="1" customWidth="1"/>
    <col min="2" max="2" width="13.5546875" bestFit="1" customWidth="1"/>
    <col min="3" max="3" width="9.6640625" bestFit="1" customWidth="1"/>
  </cols>
  <sheetData>
    <row r="1" spans="1:3" x14ac:dyDescent="0.3">
      <c r="A1" s="1" t="s">
        <v>1</v>
      </c>
      <c r="B1" s="1" t="s">
        <v>58</v>
      </c>
      <c r="C1" s="1" t="s">
        <v>119</v>
      </c>
    </row>
    <row r="2" spans="1:3" x14ac:dyDescent="0.3">
      <c r="A2" t="s">
        <v>16</v>
      </c>
      <c r="B2" t="s">
        <v>63</v>
      </c>
      <c r="C2" t="str">
        <f>TEXT(B2,"dddd")</f>
        <v>Sunday</v>
      </c>
    </row>
    <row r="3" spans="1:3" x14ac:dyDescent="0.3">
      <c r="A3" t="s">
        <v>17</v>
      </c>
      <c r="B3" t="s">
        <v>64</v>
      </c>
      <c r="C3" t="str">
        <f t="shared" ref="C3:C11" si="0">TEXT(B3,"dddd")</f>
        <v>Monday</v>
      </c>
    </row>
    <row r="4" spans="1:3" x14ac:dyDescent="0.3">
      <c r="A4" t="s">
        <v>18</v>
      </c>
      <c r="B4" t="s">
        <v>65</v>
      </c>
      <c r="C4" t="str">
        <f t="shared" si="0"/>
        <v>Tuesday</v>
      </c>
    </row>
    <row r="5" spans="1:3" x14ac:dyDescent="0.3">
      <c r="A5" t="s">
        <v>19</v>
      </c>
      <c r="B5" t="s">
        <v>66</v>
      </c>
      <c r="C5" t="str">
        <f t="shared" si="0"/>
        <v>Tuesday</v>
      </c>
    </row>
    <row r="6" spans="1:3" x14ac:dyDescent="0.3">
      <c r="A6" t="s">
        <v>20</v>
      </c>
      <c r="B6" t="s">
        <v>67</v>
      </c>
      <c r="C6" t="str">
        <f t="shared" si="0"/>
        <v>Saturday</v>
      </c>
    </row>
    <row r="7" spans="1:3" x14ac:dyDescent="0.3">
      <c r="A7" t="s">
        <v>21</v>
      </c>
      <c r="B7" t="s">
        <v>68</v>
      </c>
      <c r="C7" t="str">
        <f t="shared" si="0"/>
        <v>Thursday</v>
      </c>
    </row>
    <row r="8" spans="1:3" x14ac:dyDescent="0.3">
      <c r="A8" t="s">
        <v>22</v>
      </c>
      <c r="B8" t="s">
        <v>69</v>
      </c>
      <c r="C8" t="str">
        <f t="shared" si="0"/>
        <v>Friday</v>
      </c>
    </row>
    <row r="9" spans="1:3" x14ac:dyDescent="0.3">
      <c r="A9" t="s">
        <v>23</v>
      </c>
      <c r="B9" t="s">
        <v>70</v>
      </c>
      <c r="C9" t="str">
        <f t="shared" si="0"/>
        <v>Tuesday</v>
      </c>
    </row>
    <row r="10" spans="1:3" x14ac:dyDescent="0.3">
      <c r="A10" t="s">
        <v>24</v>
      </c>
      <c r="B10" t="s">
        <v>71</v>
      </c>
      <c r="C10" t="str">
        <f t="shared" si="0"/>
        <v>Monday</v>
      </c>
    </row>
    <row r="11" spans="1:3" x14ac:dyDescent="0.3">
      <c r="A11" t="s">
        <v>25</v>
      </c>
      <c r="B11" t="s">
        <v>72</v>
      </c>
      <c r="C11" t="str">
        <f t="shared" si="0"/>
        <v>Saturday</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1"/>
  <sheetViews>
    <sheetView tabSelected="1" workbookViewId="0">
      <selection activeCell="D17" sqref="D17"/>
    </sheetView>
  </sheetViews>
  <sheetFormatPr defaultRowHeight="14.4" x14ac:dyDescent="0.3"/>
  <cols>
    <col min="1" max="1" width="20.44140625" bestFit="1" customWidth="1"/>
    <col min="2" max="2" width="13.44140625" bestFit="1" customWidth="1"/>
    <col min="3" max="3" width="24.109375" bestFit="1" customWidth="1"/>
    <col min="4" max="4" width="16.21875" bestFit="1" customWidth="1"/>
    <col min="5" max="5" width="7.44140625" bestFit="1" customWidth="1"/>
  </cols>
  <sheetData>
    <row r="1" spans="1:5" x14ac:dyDescent="0.3">
      <c r="A1" s="1" t="s">
        <v>73</v>
      </c>
      <c r="B1" s="1" t="s">
        <v>120</v>
      </c>
      <c r="C1" s="1" t="s">
        <v>74</v>
      </c>
      <c r="D1" s="1" t="s">
        <v>121</v>
      </c>
      <c r="E1" s="1" t="s">
        <v>122</v>
      </c>
    </row>
    <row r="2" spans="1:5" x14ac:dyDescent="0.3">
      <c r="A2" t="s">
        <v>75</v>
      </c>
      <c r="B2" t="s">
        <v>85</v>
      </c>
      <c r="C2" s="21">
        <f>EOMONTH(B2,3)</f>
        <v>44469</v>
      </c>
      <c r="D2" s="22">
        <f ca="1">TODAY() - B2</f>
        <v>1614</v>
      </c>
      <c r="E2" t="str">
        <f>"Q" &amp; INT((MONTH(B2)-1)/3)+1</f>
        <v>Q2</v>
      </c>
    </row>
    <row r="3" spans="1:5" x14ac:dyDescent="0.3">
      <c r="A3" t="s">
        <v>76</v>
      </c>
      <c r="B3" t="s">
        <v>86</v>
      </c>
      <c r="C3" s="21">
        <f t="shared" ref="C3:C11" si="0">EOMONTH(B3,3)</f>
        <v>45138</v>
      </c>
      <c r="D3" s="22">
        <f t="shared" ref="D3:D11" ca="1" si="1">TODAY() - B3</f>
        <v>948</v>
      </c>
      <c r="E3" t="str">
        <f t="shared" ref="E3:E11" si="2">"Q" &amp; INT((MONTH(B3)-1)/3)+1</f>
        <v>Q2</v>
      </c>
    </row>
    <row r="4" spans="1:5" x14ac:dyDescent="0.3">
      <c r="A4" t="s">
        <v>77</v>
      </c>
      <c r="B4" t="s">
        <v>87</v>
      </c>
      <c r="C4" s="21">
        <f t="shared" si="0"/>
        <v>43555</v>
      </c>
      <c r="D4" s="22">
        <f t="shared" ca="1" si="1"/>
        <v>2539</v>
      </c>
      <c r="E4" t="str">
        <f t="shared" si="2"/>
        <v>Q4</v>
      </c>
    </row>
    <row r="5" spans="1:5" x14ac:dyDescent="0.3">
      <c r="A5" t="s">
        <v>78</v>
      </c>
      <c r="B5" t="s">
        <v>88</v>
      </c>
      <c r="C5" s="21">
        <f t="shared" si="0"/>
        <v>43708</v>
      </c>
      <c r="D5" s="22">
        <f t="shared" ca="1" si="1"/>
        <v>2380</v>
      </c>
      <c r="E5" t="str">
        <f t="shared" si="2"/>
        <v>Q2</v>
      </c>
    </row>
    <row r="6" spans="1:5" x14ac:dyDescent="0.3">
      <c r="A6" t="s">
        <v>79</v>
      </c>
      <c r="B6" t="s">
        <v>89</v>
      </c>
      <c r="C6" s="21">
        <f t="shared" si="0"/>
        <v>45046</v>
      </c>
      <c r="D6" s="22">
        <f t="shared" ca="1" si="1"/>
        <v>1041</v>
      </c>
      <c r="E6" t="str">
        <f t="shared" si="2"/>
        <v>Q1</v>
      </c>
    </row>
    <row r="7" spans="1:5" x14ac:dyDescent="0.3">
      <c r="A7" t="s">
        <v>80</v>
      </c>
      <c r="B7" t="s">
        <v>90</v>
      </c>
      <c r="C7" s="21">
        <f t="shared" si="0"/>
        <v>43799</v>
      </c>
      <c r="D7" s="22">
        <f t="shared" ca="1" si="1"/>
        <v>2290</v>
      </c>
      <c r="E7" t="str">
        <f t="shared" si="2"/>
        <v>Q3</v>
      </c>
    </row>
    <row r="8" spans="1:5" x14ac:dyDescent="0.3">
      <c r="A8" t="s">
        <v>81</v>
      </c>
      <c r="B8" t="s">
        <v>91</v>
      </c>
      <c r="C8" s="21">
        <f t="shared" si="0"/>
        <v>43677</v>
      </c>
      <c r="D8" s="22">
        <f t="shared" ca="1" si="1"/>
        <v>2410</v>
      </c>
      <c r="E8" t="str">
        <f t="shared" si="2"/>
        <v>Q2</v>
      </c>
    </row>
    <row r="9" spans="1:5" x14ac:dyDescent="0.3">
      <c r="A9" t="s">
        <v>82</v>
      </c>
      <c r="B9" t="s">
        <v>92</v>
      </c>
      <c r="C9" s="21">
        <f t="shared" si="0"/>
        <v>43708</v>
      </c>
      <c r="D9" s="22">
        <f t="shared" ca="1" si="1"/>
        <v>2378</v>
      </c>
      <c r="E9" t="str">
        <f t="shared" si="2"/>
        <v>Q2</v>
      </c>
    </row>
    <row r="10" spans="1:5" x14ac:dyDescent="0.3">
      <c r="A10" t="s">
        <v>83</v>
      </c>
      <c r="B10" t="s">
        <v>93</v>
      </c>
      <c r="C10" s="21">
        <f t="shared" si="0"/>
        <v>44255</v>
      </c>
      <c r="D10" s="22">
        <f t="shared" ca="1" si="1"/>
        <v>1833</v>
      </c>
      <c r="E10" t="str">
        <f t="shared" si="2"/>
        <v>Q4</v>
      </c>
    </row>
    <row r="11" spans="1:5" x14ac:dyDescent="0.3">
      <c r="A11" t="s">
        <v>84</v>
      </c>
      <c r="B11" t="s">
        <v>94</v>
      </c>
      <c r="C11" s="21">
        <f t="shared" si="0"/>
        <v>43646</v>
      </c>
      <c r="D11" s="22">
        <f t="shared" ca="1" si="1"/>
        <v>2427</v>
      </c>
      <c r="E11" t="str">
        <f t="shared" si="2"/>
        <v>Q1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Month-Year Format</vt:lpstr>
      <vt:lpstr>Working Days Excl Holidays</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Gupta</dc:creator>
  <cp:lastModifiedBy>Aman Gupta</cp:lastModifiedBy>
  <dcterms:created xsi:type="dcterms:W3CDTF">2025-07-27T17:32:22Z</dcterms:created>
  <dcterms:modified xsi:type="dcterms:W3CDTF">2025-11-18T23:34:53Z</dcterms:modified>
</cp:coreProperties>
</file>