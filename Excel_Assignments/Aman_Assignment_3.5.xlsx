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F23256F8-1F60-4254-B93A-68852AB4FD8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Q&amp;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lcD0yWlp66YNEjm92kI8egaH9jozvJTCJUNbDQTcOM="/>
    </ext>
  </extLst>
</workbook>
</file>

<file path=xl/calcChain.xml><?xml version="1.0" encoding="utf-8"?>
<calcChain xmlns="http://schemas.openxmlformats.org/spreadsheetml/2006/main">
  <c r="E10" i="2" l="1" a="1"/>
  <c r="E10" i="2" s="1"/>
  <c r="E18" i="2"/>
  <c r="E17" i="2"/>
  <c r="E16" i="2"/>
  <c r="E15" i="2"/>
  <c r="E13" i="2"/>
  <c r="E14" i="2"/>
  <c r="E12" i="2"/>
  <c r="E11" i="2"/>
  <c r="E9" i="2"/>
  <c r="E8" i="2"/>
  <c r="E7" i="2"/>
  <c r="E6" i="2"/>
  <c r="E5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<sst xmlns="http://schemas.openxmlformats.org/spreadsheetml/2006/main" count="456" uniqueCount="246">
  <si>
    <t>Sr No.</t>
  </si>
  <si>
    <t>Movie Title</t>
  </si>
  <si>
    <t>Genre</t>
  </si>
  <si>
    <t>Release Year</t>
  </si>
  <si>
    <t>Budget (Cr)</t>
  </si>
  <si>
    <t>Box Office Collection (Cr)</t>
  </si>
  <si>
    <t>Cross-group dynamic initiative</t>
  </si>
  <si>
    <t>Action</t>
  </si>
  <si>
    <t>Function-based 5thgeneration middleware</t>
  </si>
  <si>
    <t>Romance</t>
  </si>
  <si>
    <t>Organic systemic website</t>
  </si>
  <si>
    <t>Up-sized zero-defect approach</t>
  </si>
  <si>
    <t>Total didactic framework</t>
  </si>
  <si>
    <t>Sci-Fi</t>
  </si>
  <si>
    <t>Synchronized hybrid groupware</t>
  </si>
  <si>
    <t>Universal disintermediate Local Area Network</t>
  </si>
  <si>
    <t>Drama</t>
  </si>
  <si>
    <t>Fully-configurable didactic ability</t>
  </si>
  <si>
    <t>Sharable exuding product</t>
  </si>
  <si>
    <t>Customizable grid-enabled info-mediaries</t>
  </si>
  <si>
    <t>Comedy</t>
  </si>
  <si>
    <t>Switchable bi-directional application</t>
  </si>
  <si>
    <t>Profound modular interface</t>
  </si>
  <si>
    <t>Progressive dynamic toolset</t>
  </si>
  <si>
    <t>Digitized system-worthy knowledgebase</t>
  </si>
  <si>
    <t>Fantasy</t>
  </si>
  <si>
    <t>Cross-group cohesive protocol</t>
  </si>
  <si>
    <t>Managed bandwidth-monitored support</t>
  </si>
  <si>
    <t>Adventure</t>
  </si>
  <si>
    <t>Optimized actuating definition</t>
  </si>
  <si>
    <t>Synchronized local paradigm</t>
  </si>
  <si>
    <t>Thriller</t>
  </si>
  <si>
    <t>Extended 24hour challenge</t>
  </si>
  <si>
    <t>Persevering local definition</t>
  </si>
  <si>
    <t>Synergized analyzing time-frame</t>
  </si>
  <si>
    <t>De-engineered upward-trending core</t>
  </si>
  <si>
    <t>Stand-alone client-driven infrastructure</t>
  </si>
  <si>
    <t>Managed bifurcated time-frame</t>
  </si>
  <si>
    <t>Synchronized incremental forecast</t>
  </si>
  <si>
    <t>Polarized actuating benchmark</t>
  </si>
  <si>
    <t>Reactive zero-defect portal</t>
  </si>
  <si>
    <t>Re-engineered asynchronous groupware</t>
  </si>
  <si>
    <t>Compatible discrete standardization</t>
  </si>
  <si>
    <t>Progressive high-level product</t>
  </si>
  <si>
    <t>Multi-layered secondary definition</t>
  </si>
  <si>
    <t>Streamlined responsive structure</t>
  </si>
  <si>
    <t>Optional logistical circuit</t>
  </si>
  <si>
    <t>Fundamental systematic matrix</t>
  </si>
  <si>
    <t>Multi-channeled hybrid infrastructure</t>
  </si>
  <si>
    <t>Persevering scalable moderator</t>
  </si>
  <si>
    <t>Integrated dynamic Graphical User Interface</t>
  </si>
  <si>
    <t>Open-source bottom-line software</t>
  </si>
  <si>
    <t>Inverse asymmetric solution</t>
  </si>
  <si>
    <t>Pre-emptive incremental moderator</t>
  </si>
  <si>
    <t>Switchable human-resource matrix</t>
  </si>
  <si>
    <t>Function-based fresh-thinking service-desk</t>
  </si>
  <si>
    <t>Versatile multi-tasking application</t>
  </si>
  <si>
    <t>Balanced multi-tasking complexity</t>
  </si>
  <si>
    <t>Stand-alone clear-thinking algorithm</t>
  </si>
  <si>
    <t>Networked upward-trending time-frame</t>
  </si>
  <si>
    <t>Programmable modular interface</t>
  </si>
  <si>
    <t>Multi-tiered discrete Local Area Network</t>
  </si>
  <si>
    <t>Enterprise-wide needs-based service-desk</t>
  </si>
  <si>
    <t>Programmable mission-critical capability</t>
  </si>
  <si>
    <t>Pre-emptive hybrid focus group</t>
  </si>
  <si>
    <t>Public-key analyzing architecture</t>
  </si>
  <si>
    <t>Expanded clear-thinking focus group</t>
  </si>
  <si>
    <t>Synergized local migration</t>
  </si>
  <si>
    <t>Adaptive value-added portal</t>
  </si>
  <si>
    <t>Object-based high-level leverage</t>
  </si>
  <si>
    <t>Programmable methodical neural-net</t>
  </si>
  <si>
    <t>Operative zero administration knowledge user</t>
  </si>
  <si>
    <t>Optional high-level time-frame</t>
  </si>
  <si>
    <t>Mandatory optimal infrastructure</t>
  </si>
  <si>
    <t>Front-line attitude-oriented approach</t>
  </si>
  <si>
    <t>Synergized user-facing protocol</t>
  </si>
  <si>
    <t>Reverse-engineered fault-tolerant database</t>
  </si>
  <si>
    <t>Integrated analyzing installation</t>
  </si>
  <si>
    <t>Total bifurcated productivity</t>
  </si>
  <si>
    <t>Future-proofed non-volatile secured line</t>
  </si>
  <si>
    <t>Multi-channeled contextually-based algorithm</t>
  </si>
  <si>
    <t>Sharable client-driven alliance</t>
  </si>
  <si>
    <t>Fundamental analyzing contingency</t>
  </si>
  <si>
    <t>Adaptive bandwidth-monitored firmware</t>
  </si>
  <si>
    <t>De-engineered non-volatile project</t>
  </si>
  <si>
    <t>Robust asymmetric strategy</t>
  </si>
  <si>
    <t>Multi-channeled next generation definition</t>
  </si>
  <si>
    <t>Up-sized analyzing model</t>
  </si>
  <si>
    <t>Grass-roots optimizing concept</t>
  </si>
  <si>
    <t>Grass-roots encompassing complexity</t>
  </si>
  <si>
    <t>Pre-emptive content-based approach</t>
  </si>
  <si>
    <t>Universal fault-tolerant algorithm</t>
  </si>
  <si>
    <t>Adaptive human-resource middleware</t>
  </si>
  <si>
    <t>Adaptive well-modulated synergy</t>
  </si>
  <si>
    <t>Self-enabling zero administration protocol</t>
  </si>
  <si>
    <t>Reduced upward-trending ability</t>
  </si>
  <si>
    <t>Compatible hybrid time-frame</t>
  </si>
  <si>
    <t>Operative bi-directional website</t>
  </si>
  <si>
    <t>Front-line exuding definition</t>
  </si>
  <si>
    <t>Mandatory intermediate secured line</t>
  </si>
  <si>
    <t>De-engineered coherent superstructure</t>
  </si>
  <si>
    <t>Synchronized heuristic collaboration</t>
  </si>
  <si>
    <t>Re-engineered eco-centric toolset</t>
  </si>
  <si>
    <t>Inverse responsive frame</t>
  </si>
  <si>
    <t>Phased fresh-thinking firmware</t>
  </si>
  <si>
    <t>Open-architected object-oriented secured line</t>
  </si>
  <si>
    <t>Fundamental leadingedge solution</t>
  </si>
  <si>
    <t>Up-sized explicit hardware</t>
  </si>
  <si>
    <t>Operative incremental frame</t>
  </si>
  <si>
    <t>User-friendly systemic monitoring</t>
  </si>
  <si>
    <t>Open-architected real-time archive</t>
  </si>
  <si>
    <t>Quality-focused asymmetric architecture</t>
  </si>
  <si>
    <t>Cross-group radical secured line</t>
  </si>
  <si>
    <t>User-friendly impactful installation</t>
  </si>
  <si>
    <t>Customer-focused interactive projection</t>
  </si>
  <si>
    <t>Universal fresh-thinking analyzer</t>
  </si>
  <si>
    <t>Universal 4thgeneration monitoring</t>
  </si>
  <si>
    <t>Reverse-engineered homogeneous product</t>
  </si>
  <si>
    <t>Polarized intangible system engine</t>
  </si>
  <si>
    <t>Proactive coherent protocol</t>
  </si>
  <si>
    <t>Adaptive grid-enabled firmware</t>
  </si>
  <si>
    <t>Visionary reciprocal implementation</t>
  </si>
  <si>
    <t>User-centric real-time flexibility</t>
  </si>
  <si>
    <t>Exclusive intermediate solution</t>
  </si>
  <si>
    <t>Proactive tertiary capability</t>
  </si>
  <si>
    <t>Object-based global structure</t>
  </si>
  <si>
    <t>Open-architected hybrid software</t>
  </si>
  <si>
    <t>Object-based static emulation</t>
  </si>
  <si>
    <t>Advanced contextually-based encoding</t>
  </si>
  <si>
    <t>Inverse methodical access</t>
  </si>
  <si>
    <t>Multi-channeled demand-driven benchmark</t>
  </si>
  <si>
    <t>Distributed logistical Internet solution</t>
  </si>
  <si>
    <t>Reverse-engineered empowering synergy</t>
  </si>
  <si>
    <t>Networked modular orchestration</t>
  </si>
  <si>
    <t>Cross-platform contextually-based database</t>
  </si>
  <si>
    <t>Synergistic analyzing knowledgebase</t>
  </si>
  <si>
    <t>Networked analyzing utilization</t>
  </si>
  <si>
    <t>Business-focused responsive open architecture</t>
  </si>
  <si>
    <t>De-engineered regional neural-net</t>
  </si>
  <si>
    <t>Total discrete workforce</t>
  </si>
  <si>
    <t>De-engineered heuristic workforce</t>
  </si>
  <si>
    <t>Cloned neutral forecast</t>
  </si>
  <si>
    <t>Synergistic responsive hardware</t>
  </si>
  <si>
    <t>Programmable explicit contingency</t>
  </si>
  <si>
    <t>Up-sized fault-tolerant adapter</t>
  </si>
  <si>
    <t>Customer-focused interactive challenge</t>
  </si>
  <si>
    <t>Triple-buffered clear-thinking paradigm</t>
  </si>
  <si>
    <t>Horizontal client-server data-warehouse</t>
  </si>
  <si>
    <t>Decentralized 3rdgeneration help-desk</t>
  </si>
  <si>
    <t>Enterprise-wide intermediate moratorium</t>
  </si>
  <si>
    <t>Decentralized zero administration strategy</t>
  </si>
  <si>
    <t>Seamless intermediate project</t>
  </si>
  <si>
    <t>Decentralized system-worthy project</t>
  </si>
  <si>
    <t>Multi-layered holistic leverage</t>
  </si>
  <si>
    <t>Down-sized regional knowledge user</t>
  </si>
  <si>
    <t>Visionary 24hour neural-net</t>
  </si>
  <si>
    <t>Realigned multi-state synergy</t>
  </si>
  <si>
    <t>Secured asymmetric software</t>
  </si>
  <si>
    <t>Phased static capacity</t>
  </si>
  <si>
    <t>Adaptive tangible benchmark</t>
  </si>
  <si>
    <t>Centralized 24/7 approach</t>
  </si>
  <si>
    <t>Pre-emptive optimizing standardization</t>
  </si>
  <si>
    <t>Optional asynchronous structure</t>
  </si>
  <si>
    <t>Assimilated object-oriented adapter</t>
  </si>
  <si>
    <t>Re-engineered mobile access</t>
  </si>
  <si>
    <t>Enhanced responsive knowledgebase</t>
  </si>
  <si>
    <t>User-friendly client-server capability</t>
  </si>
  <si>
    <t>Reactive directional functionalities</t>
  </si>
  <si>
    <t>Operative systemic Graphic Interface</t>
  </si>
  <si>
    <t>Realigned didactic throughput</t>
  </si>
  <si>
    <t>Public-key tertiary moratorium</t>
  </si>
  <si>
    <t>De-engineered bifurcated Graphical User Interface</t>
  </si>
  <si>
    <t>Proactive web-enabled definition</t>
  </si>
  <si>
    <t>Total intangible time-frame</t>
  </si>
  <si>
    <t>Customizable neutral definition</t>
  </si>
  <si>
    <t>Cross-platform human-resource firmware</t>
  </si>
  <si>
    <t>Total discrete data-warehouse</t>
  </si>
  <si>
    <t>Object-based explicit open system</t>
  </si>
  <si>
    <t>Monitored directional portal</t>
  </si>
  <si>
    <t>Right-sized scalable customer loyalty</t>
  </si>
  <si>
    <t>Multi-layered maximized knowledge user</t>
  </si>
  <si>
    <t>Persistent motivating parallelism</t>
  </si>
  <si>
    <t>Open-source heuristic Graphical User Interface</t>
  </si>
  <si>
    <t>Realigned incremental extranet</t>
  </si>
  <si>
    <t>Compatible systemic matrix</t>
  </si>
  <si>
    <t>Exclusive tertiary matrices</t>
  </si>
  <si>
    <t>Team-oriented discrete alliance</t>
  </si>
  <si>
    <t>Multi-lateral impactful secured line</t>
  </si>
  <si>
    <t>Monitored bottom-line frame</t>
  </si>
  <si>
    <t>Synergized solution-oriented alliance</t>
  </si>
  <si>
    <t>Horizontal national circuit</t>
  </si>
  <si>
    <t>Re-contextualized maximized analyzer</t>
  </si>
  <si>
    <t>Intuitive exuding secured line</t>
  </si>
  <si>
    <t>Programmable optimizing moderator</t>
  </si>
  <si>
    <t>Self-enabling directional complexity</t>
  </si>
  <si>
    <t>Grass-roots zero-defect implementation</t>
  </si>
  <si>
    <t>Integrated bi-directional circuit</t>
  </si>
  <si>
    <t>Extended zero administration open system</t>
  </si>
  <si>
    <t>Up-sized bi-directional algorithm</t>
  </si>
  <si>
    <t>Pre-emptive user-facing pricing structure</t>
  </si>
  <si>
    <t>Distributed web-enabled migration</t>
  </si>
  <si>
    <t>Monitored methodical model</t>
  </si>
  <si>
    <t>Automated object-oriented superstructure</t>
  </si>
  <si>
    <t>Automated actuating adapter</t>
  </si>
  <si>
    <t>Secured explicit alliance</t>
  </si>
  <si>
    <t>Balanced leadingedge budgetary management</t>
  </si>
  <si>
    <t>Multi-layered methodical task-force</t>
  </si>
  <si>
    <t>Polarized global system engine</t>
  </si>
  <si>
    <t>Managed radical secured line</t>
  </si>
  <si>
    <t>Horizontal motivating budgetary management</t>
  </si>
  <si>
    <t>User-centric maximized monitoring</t>
  </si>
  <si>
    <t>Future-proofed scalable system engine</t>
  </si>
  <si>
    <t>Expanded 24hour structure</t>
  </si>
  <si>
    <t>Digitized grid-enabled policy</t>
  </si>
  <si>
    <t>Triple-buffered zero-defect open system</t>
  </si>
  <si>
    <t>Enhanced methodical moderator</t>
  </si>
  <si>
    <t>Managed executive installation</t>
  </si>
  <si>
    <t>Cross-platform responsive leverage</t>
  </si>
  <si>
    <t>Multi-channeled needs-based throughput</t>
  </si>
  <si>
    <t>Integrated neutral matrices</t>
  </si>
  <si>
    <t>Centralized heuristic implementation</t>
  </si>
  <si>
    <t>Future-proofed motivating productivity</t>
  </si>
  <si>
    <t>Synergized interactive toolset</t>
  </si>
  <si>
    <t>Horizontal empowering collaboration</t>
  </si>
  <si>
    <t>Question 7</t>
  </si>
  <si>
    <t>Q.No</t>
  </si>
  <si>
    <t>Question</t>
  </si>
  <si>
    <t>Answer:</t>
  </si>
  <si>
    <t>Row Labels</t>
  </si>
  <si>
    <t>Count of Movie Title</t>
  </si>
  <si>
    <r>
      <rPr>
        <sz val="11"/>
        <color theme="1"/>
        <rFont val="Calibri"/>
      </rPr>
      <t xml:space="preserve">Determine the </t>
    </r>
    <r>
      <rPr>
        <b/>
        <sz val="11"/>
        <color theme="1"/>
        <rFont val="Calibri"/>
      </rPr>
      <t>total number of movies</t>
    </r>
    <r>
      <rPr>
        <sz val="11"/>
        <color theme="1"/>
        <rFont val="Calibri"/>
      </rPr>
      <t xml:space="preserve"> listed in the dataset.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</si>
  <si>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overall box office collection</t>
    </r>
    <r>
      <rPr>
        <sz val="11"/>
        <color theme="1"/>
        <rFont val="Calibri"/>
      </rPr>
      <t xml:space="preserve"> (in Cr) for all movies combined.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</si>
  <si>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average production budget</t>
    </r>
    <r>
      <rPr>
        <sz val="11"/>
        <color theme="1"/>
        <rFont val="Calibri"/>
      </rPr>
      <t xml:space="preserve"> of the movies in the dataset.</t>
    </r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</si>
  <si>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highest box office collection</t>
    </r>
    <r>
      <rPr>
        <sz val="11"/>
        <color theme="1"/>
        <rFont val="Calibri"/>
      </rPr>
      <t xml:space="preserve"> recorded among all movies.</t>
    </r>
  </si>
  <si>
    <r>
      <rPr>
        <sz val="11"/>
        <color theme="1"/>
        <rFont val="Calibri"/>
      </rPr>
      <t xml:space="preserve">Determine the </t>
    </r>
    <r>
      <rPr>
        <b/>
        <sz val="11"/>
        <color theme="1"/>
        <rFont val="Calibri"/>
      </rPr>
      <t>lowest production budget</t>
    </r>
    <r>
      <rPr>
        <sz val="11"/>
        <color theme="1"/>
        <rFont val="Calibri"/>
      </rPr>
      <t xml:space="preserve"> recorded in the dataset.</t>
    </r>
  </si>
  <si>
    <r>
      <rPr>
        <sz val="11"/>
        <color theme="1"/>
        <rFont val="Calibri"/>
      </rPr>
      <t xml:space="preserve">Count how many movies fall under the </t>
    </r>
    <r>
      <rPr>
        <b/>
        <sz val="11"/>
        <color theme="1"/>
        <rFont val="Calibri"/>
      </rPr>
      <t>"Drama"</t>
    </r>
    <r>
      <rPr>
        <sz val="11"/>
        <color theme="1"/>
        <rFont val="Calibri"/>
      </rPr>
      <t xml:space="preserve"> genre.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</si>
  <si>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average box office collection</t>
    </r>
    <r>
      <rPr>
        <sz val="11"/>
        <color theme="1"/>
        <rFont val="Calibri"/>
      </rPr>
      <t xml:space="preserve"> for movies released in the year </t>
    </r>
    <r>
      <rPr>
        <b/>
        <sz val="11"/>
        <color theme="1"/>
        <rFont val="Calibri"/>
      </rPr>
      <t>2023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</si>
  <si>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total number of movies</t>
    </r>
    <r>
      <rPr>
        <sz val="11"/>
        <color theme="1"/>
        <rFont val="Calibri"/>
      </rPr>
      <t xml:space="preserve"> released in </t>
    </r>
    <r>
      <rPr>
        <b/>
        <sz val="11"/>
        <color theme="1"/>
        <rFont val="Calibri"/>
      </rPr>
      <t>2022</t>
    </r>
    <r>
      <rPr>
        <sz val="11"/>
        <color theme="1"/>
        <rFont val="Calibri"/>
      </rPr>
      <t>.</t>
    </r>
  </si>
  <si>
    <t>Grand Total</t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</si>
  <si>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movie title</t>
    </r>
    <r>
      <rPr>
        <sz val="11"/>
        <color theme="1"/>
        <rFont val="Calibri"/>
      </rPr>
      <t xml:space="preserve"> that had the </t>
    </r>
    <r>
      <rPr>
        <b/>
        <sz val="11"/>
        <color theme="1"/>
        <rFont val="Calibri"/>
      </rPr>
      <t>highest box office collection</t>
    </r>
    <r>
      <rPr>
        <sz val="11"/>
        <color theme="1"/>
        <rFont val="Calibri"/>
      </rPr>
      <t>.(You can use Index and Match or sorting also)</t>
    </r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</si>
  <si>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movie title</t>
    </r>
    <r>
      <rPr>
        <sz val="11"/>
        <color theme="1"/>
        <rFont val="Calibri"/>
      </rPr>
      <t xml:space="preserve"> that had the </t>
    </r>
    <r>
      <rPr>
        <b/>
        <sz val="11"/>
        <color theme="1"/>
        <rFont val="Calibri"/>
      </rPr>
      <t>lowest production budget</t>
    </r>
    <r>
      <rPr>
        <sz val="11"/>
        <color theme="1"/>
        <rFont val="Calibri"/>
      </rPr>
      <t>.(You can use Index and Match or sorting also)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</si>
  <si>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third highest</t>
    </r>
    <r>
      <rPr>
        <sz val="11"/>
        <color theme="1"/>
        <rFont val="Calibri"/>
      </rPr>
      <t xml:space="preserve"> box office collection value in the dataset.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</si>
  <si>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fifth lowest</t>
    </r>
    <r>
      <rPr>
        <sz val="11"/>
        <color theme="1"/>
        <rFont val="Calibri"/>
      </rPr>
      <t xml:space="preserve"> production budget among all listed movies.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</si>
  <si>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range</t>
    </r>
    <r>
      <rPr>
        <sz val="11"/>
        <color theme="1"/>
        <rFont val="Calibri"/>
      </rPr>
      <t xml:space="preserve"> (difference between maximum and minimum) of the </t>
    </r>
    <r>
      <rPr>
        <b/>
        <sz val="11"/>
        <color theme="1"/>
        <rFont val="Calibri"/>
      </rPr>
      <t>box office collection</t>
    </r>
    <r>
      <rPr>
        <sz val="11"/>
        <color theme="1"/>
        <rFont val="Calibri"/>
      </rPr>
      <t xml:space="preserve"> values.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</si>
  <si>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range</t>
    </r>
    <r>
      <rPr>
        <sz val="11"/>
        <color theme="1"/>
        <rFont val="Calibri"/>
      </rPr>
      <t xml:space="preserve"> of the </t>
    </r>
    <r>
      <rPr>
        <b/>
        <sz val="11"/>
        <color theme="1"/>
        <rFont val="Calibri"/>
      </rPr>
      <t>budget</t>
    </r>
    <r>
      <rPr>
        <sz val="11"/>
        <color theme="1"/>
        <rFont val="Calibri"/>
      </rPr>
      <t xml:space="preserve"> values in the dataset.</t>
    </r>
  </si>
  <si>
    <r>
      <t xml:space="preserve">Identify the </t>
    </r>
    <r>
      <rPr>
        <b/>
        <sz val="11"/>
        <color theme="1"/>
        <rFont val="Calibri"/>
      </rPr>
      <t>most frequently occurring genre</t>
    </r>
    <r>
      <rPr>
        <sz val="11"/>
        <color theme="1"/>
        <rFont val="Calibri"/>
      </rPr>
      <t xml:space="preserve"> (i.e., the mode of the Genre column). (You can Use Index and Match or Pivot table)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</si>
</sst>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mo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2" fontId="3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0" borderId="6" xfId="0" applyFont="1" applyBorder="1" applyAlignment="1">
      <alignment vertical="center"/>
    </xf>
    <xf numFmtId="2" fontId="4" fillId="0" borderId="4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2" fontId="4" fillId="0" borderId="9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opLeftCell="A181" workbookViewId="0">
      <selection activeCell="D18" sqref="D18"/>
    </sheetView>
  </sheetViews>
  <sheetFormatPr defaultColWidth="14.44140625" defaultRowHeight="15" customHeight="1"/>
  <cols>
    <col min="1" max="1" width="6.109375" customWidth="1"/>
    <col min="2" max="2" width="42.6640625" customWidth="1"/>
    <col min="3" max="3" width="9.33203125" customWidth="1"/>
    <col min="4" max="4" width="11.44140625" customWidth="1"/>
    <col min="5" max="5" width="14.6640625" customWidth="1"/>
    <col min="6" max="6" width="22.33203125" customWidth="1"/>
    <col min="7" max="26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4.25" customHeight="1">
      <c r="A2" s="3">
        <v>1</v>
      </c>
      <c r="B2" s="3" t="s">
        <v>6</v>
      </c>
      <c r="C2" s="3" t="s">
        <v>7</v>
      </c>
      <c r="D2" s="3">
        <v>2024</v>
      </c>
      <c r="E2" s="4">
        <v>109.46</v>
      </c>
      <c r="F2" s="4">
        <v>367.77</v>
      </c>
    </row>
    <row r="3" spans="1:6" ht="14.25" customHeight="1">
      <c r="A3" s="3">
        <v>2</v>
      </c>
      <c r="B3" s="3" t="s">
        <v>8</v>
      </c>
      <c r="C3" s="3" t="s">
        <v>9</v>
      </c>
      <c r="D3" s="3">
        <v>2019</v>
      </c>
      <c r="E3" s="4">
        <v>60.94</v>
      </c>
      <c r="F3" s="4">
        <v>467.25</v>
      </c>
    </row>
    <row r="4" spans="1:6" ht="14.25" customHeight="1">
      <c r="A4" s="3">
        <v>3</v>
      </c>
      <c r="B4" s="3" t="s">
        <v>10</v>
      </c>
      <c r="C4" s="3" t="s">
        <v>9</v>
      </c>
      <c r="D4" s="3">
        <v>2022</v>
      </c>
      <c r="E4" s="4">
        <v>61.73</v>
      </c>
      <c r="F4" s="4">
        <v>562.44000000000005</v>
      </c>
    </row>
    <row r="5" spans="1:6" ht="14.25" customHeight="1">
      <c r="A5" s="3">
        <v>4</v>
      </c>
      <c r="B5" s="3" t="s">
        <v>11</v>
      </c>
      <c r="C5" s="3" t="s">
        <v>9</v>
      </c>
      <c r="D5" s="3">
        <v>2022</v>
      </c>
      <c r="E5" s="4">
        <v>193.88</v>
      </c>
      <c r="F5" s="4">
        <v>859.01</v>
      </c>
    </row>
    <row r="6" spans="1:6" ht="14.25" customHeight="1">
      <c r="A6" s="3">
        <v>5</v>
      </c>
      <c r="B6" s="3" t="s">
        <v>12</v>
      </c>
      <c r="C6" s="3" t="s">
        <v>13</v>
      </c>
      <c r="D6" s="3">
        <v>2020</v>
      </c>
      <c r="E6" s="4">
        <v>209.53</v>
      </c>
      <c r="F6" s="4">
        <v>423.01</v>
      </c>
    </row>
    <row r="7" spans="1:6" ht="14.25" customHeight="1">
      <c r="A7" s="3">
        <v>6</v>
      </c>
      <c r="B7" s="3" t="s">
        <v>14</v>
      </c>
      <c r="C7" s="3" t="s">
        <v>9</v>
      </c>
      <c r="D7" s="3">
        <v>2020</v>
      </c>
      <c r="E7" s="4">
        <v>249.47</v>
      </c>
      <c r="F7" s="4">
        <v>366.85</v>
      </c>
    </row>
    <row r="8" spans="1:6" ht="14.25" customHeight="1">
      <c r="A8" s="3">
        <v>7</v>
      </c>
      <c r="B8" s="3" t="s">
        <v>15</v>
      </c>
      <c r="C8" s="3" t="s">
        <v>16</v>
      </c>
      <c r="D8" s="3">
        <v>2022</v>
      </c>
      <c r="E8" s="4">
        <v>186</v>
      </c>
      <c r="F8" s="4">
        <v>558.07000000000005</v>
      </c>
    </row>
    <row r="9" spans="1:6" ht="14.25" customHeight="1">
      <c r="A9" s="3">
        <v>8</v>
      </c>
      <c r="B9" s="3" t="s">
        <v>17</v>
      </c>
      <c r="C9" s="3" t="s">
        <v>16</v>
      </c>
      <c r="D9" s="3">
        <v>2019</v>
      </c>
      <c r="E9" s="4">
        <v>131.18</v>
      </c>
      <c r="F9" s="4">
        <v>349.29</v>
      </c>
    </row>
    <row r="10" spans="1:6" ht="14.25" customHeight="1">
      <c r="A10" s="3">
        <v>9</v>
      </c>
      <c r="B10" s="3" t="s">
        <v>18</v>
      </c>
      <c r="C10" s="3" t="s">
        <v>7</v>
      </c>
      <c r="D10" s="3">
        <v>2020</v>
      </c>
      <c r="E10" s="4">
        <v>210.39</v>
      </c>
      <c r="F10" s="4">
        <v>326.49</v>
      </c>
    </row>
    <row r="11" spans="1:6" ht="14.25" customHeight="1">
      <c r="A11" s="3">
        <v>10</v>
      </c>
      <c r="B11" s="3" t="s">
        <v>19</v>
      </c>
      <c r="C11" s="3" t="s">
        <v>20</v>
      </c>
      <c r="D11" s="3">
        <v>2023</v>
      </c>
      <c r="E11" s="4">
        <v>187.44</v>
      </c>
      <c r="F11" s="4">
        <v>866.09</v>
      </c>
    </row>
    <row r="12" spans="1:6" ht="14.25" customHeight="1">
      <c r="A12" s="3">
        <v>11</v>
      </c>
      <c r="B12" s="3" t="s">
        <v>21</v>
      </c>
      <c r="C12" s="3" t="s">
        <v>16</v>
      </c>
      <c r="D12" s="3">
        <v>2024</v>
      </c>
      <c r="E12" s="4">
        <v>245.38</v>
      </c>
      <c r="F12" s="4">
        <v>661.84</v>
      </c>
    </row>
    <row r="13" spans="1:6" ht="14.25" customHeight="1">
      <c r="A13" s="3">
        <v>12</v>
      </c>
      <c r="B13" s="3" t="s">
        <v>22</v>
      </c>
      <c r="C13" s="3" t="s">
        <v>9</v>
      </c>
      <c r="D13" s="3">
        <v>2023</v>
      </c>
      <c r="E13" s="4">
        <v>248.32</v>
      </c>
      <c r="F13" s="4">
        <v>283.64</v>
      </c>
    </row>
    <row r="14" spans="1:6" ht="14.25" customHeight="1">
      <c r="A14" s="3">
        <v>13</v>
      </c>
      <c r="B14" s="3" t="s">
        <v>23</v>
      </c>
      <c r="C14" s="3" t="s">
        <v>13</v>
      </c>
      <c r="D14" s="3">
        <v>2024</v>
      </c>
      <c r="E14" s="4">
        <v>234.44</v>
      </c>
      <c r="F14" s="4">
        <v>392.33</v>
      </c>
    </row>
    <row r="15" spans="1:6" ht="14.25" customHeight="1">
      <c r="A15" s="3">
        <v>14</v>
      </c>
      <c r="B15" s="3" t="s">
        <v>24</v>
      </c>
      <c r="C15" s="3" t="s">
        <v>25</v>
      </c>
      <c r="D15" s="3">
        <v>2024</v>
      </c>
      <c r="E15" s="4">
        <v>59.75</v>
      </c>
      <c r="F15" s="4">
        <v>519.54999999999995</v>
      </c>
    </row>
    <row r="16" spans="1:6" ht="14.25" customHeight="1">
      <c r="A16" s="3">
        <v>15</v>
      </c>
      <c r="B16" s="3" t="s">
        <v>26</v>
      </c>
      <c r="C16" s="3" t="s">
        <v>16</v>
      </c>
      <c r="D16" s="3">
        <v>2020</v>
      </c>
      <c r="E16" s="4">
        <v>152.96</v>
      </c>
      <c r="F16" s="4">
        <v>424.76</v>
      </c>
    </row>
    <row r="17" spans="1:6" ht="14.25" customHeight="1">
      <c r="A17" s="3">
        <v>16</v>
      </c>
      <c r="B17" s="3" t="s">
        <v>27</v>
      </c>
      <c r="C17" s="3" t="s">
        <v>28</v>
      </c>
      <c r="D17" s="3">
        <v>2020</v>
      </c>
      <c r="E17" s="4">
        <v>177.4</v>
      </c>
      <c r="F17" s="4">
        <v>499.98</v>
      </c>
    </row>
    <row r="18" spans="1:6" ht="14.25" customHeight="1">
      <c r="A18" s="3">
        <v>17</v>
      </c>
      <c r="B18" s="3" t="s">
        <v>29</v>
      </c>
      <c r="C18" s="3" t="s">
        <v>25</v>
      </c>
      <c r="D18" s="3">
        <v>2024</v>
      </c>
      <c r="E18" s="4">
        <v>115.4</v>
      </c>
      <c r="F18" s="4">
        <v>601.96</v>
      </c>
    </row>
    <row r="19" spans="1:6" ht="14.25" customHeight="1">
      <c r="A19" s="3">
        <v>18</v>
      </c>
      <c r="B19" s="3" t="s">
        <v>30</v>
      </c>
      <c r="C19" s="3" t="s">
        <v>31</v>
      </c>
      <c r="D19" s="3">
        <v>2018</v>
      </c>
      <c r="E19" s="4">
        <v>169.95</v>
      </c>
      <c r="F19" s="4">
        <v>720.7</v>
      </c>
    </row>
    <row r="20" spans="1:6" ht="14.25" customHeight="1">
      <c r="A20" s="3">
        <v>19</v>
      </c>
      <c r="B20" s="3" t="s">
        <v>32</v>
      </c>
      <c r="C20" s="3" t="s">
        <v>28</v>
      </c>
      <c r="D20" s="3">
        <v>2020</v>
      </c>
      <c r="E20" s="4">
        <v>213.9</v>
      </c>
      <c r="F20" s="4">
        <v>189.34</v>
      </c>
    </row>
    <row r="21" spans="1:6" ht="14.25" customHeight="1">
      <c r="A21" s="3">
        <v>20</v>
      </c>
      <c r="B21" s="3" t="s">
        <v>33</v>
      </c>
      <c r="C21" s="3" t="s">
        <v>28</v>
      </c>
      <c r="D21" s="3">
        <v>2020</v>
      </c>
      <c r="E21" s="4">
        <v>153.19999999999999</v>
      </c>
      <c r="F21" s="4">
        <v>397.78</v>
      </c>
    </row>
    <row r="22" spans="1:6" ht="14.25" customHeight="1">
      <c r="A22" s="3">
        <v>21</v>
      </c>
      <c r="B22" s="3" t="s">
        <v>34</v>
      </c>
      <c r="C22" s="3" t="s">
        <v>13</v>
      </c>
      <c r="D22" s="3">
        <v>2024</v>
      </c>
      <c r="E22" s="4">
        <v>224.85</v>
      </c>
      <c r="F22" s="4">
        <v>298.07</v>
      </c>
    </row>
    <row r="23" spans="1:6" ht="14.25" customHeight="1">
      <c r="A23" s="3">
        <v>22</v>
      </c>
      <c r="B23" s="3" t="s">
        <v>35</v>
      </c>
      <c r="C23" s="3" t="s">
        <v>25</v>
      </c>
      <c r="D23" s="3">
        <v>2020</v>
      </c>
      <c r="E23" s="4">
        <v>125.9</v>
      </c>
      <c r="F23" s="4">
        <v>321.79000000000002</v>
      </c>
    </row>
    <row r="24" spans="1:6" ht="14.25" customHeight="1">
      <c r="A24" s="3">
        <v>23</v>
      </c>
      <c r="B24" s="3" t="s">
        <v>36</v>
      </c>
      <c r="C24" s="3" t="s">
        <v>25</v>
      </c>
      <c r="D24" s="3">
        <v>2024</v>
      </c>
      <c r="E24" s="4">
        <v>50.18</v>
      </c>
      <c r="F24" s="4">
        <v>251.53</v>
      </c>
    </row>
    <row r="25" spans="1:6" ht="14.25" customHeight="1">
      <c r="A25" s="3">
        <v>24</v>
      </c>
      <c r="B25" s="3" t="s">
        <v>37</v>
      </c>
      <c r="C25" s="3" t="s">
        <v>25</v>
      </c>
      <c r="D25" s="3">
        <v>2024</v>
      </c>
      <c r="E25" s="4">
        <v>103.36</v>
      </c>
      <c r="F25" s="4">
        <v>392.8</v>
      </c>
    </row>
    <row r="26" spans="1:6" ht="14.25" customHeight="1">
      <c r="A26" s="3">
        <v>25</v>
      </c>
      <c r="B26" s="3" t="s">
        <v>38</v>
      </c>
      <c r="C26" s="3" t="s">
        <v>13</v>
      </c>
      <c r="D26" s="3">
        <v>2024</v>
      </c>
      <c r="E26" s="4">
        <v>58.46</v>
      </c>
      <c r="F26" s="4">
        <v>404.21</v>
      </c>
    </row>
    <row r="27" spans="1:6" ht="14.25" customHeight="1">
      <c r="A27" s="3">
        <v>26</v>
      </c>
      <c r="B27" s="3" t="s">
        <v>39</v>
      </c>
      <c r="C27" s="3" t="s">
        <v>9</v>
      </c>
      <c r="D27" s="3">
        <v>2021</v>
      </c>
      <c r="E27" s="4">
        <v>247.76</v>
      </c>
      <c r="F27" s="4">
        <v>389.65</v>
      </c>
    </row>
    <row r="28" spans="1:6" ht="14.25" customHeight="1">
      <c r="A28" s="3">
        <v>27</v>
      </c>
      <c r="B28" s="3" t="s">
        <v>40</v>
      </c>
      <c r="C28" s="3" t="s">
        <v>28</v>
      </c>
      <c r="D28" s="3">
        <v>2024</v>
      </c>
      <c r="E28" s="4">
        <v>225.96</v>
      </c>
      <c r="F28" s="4">
        <v>308.95999999999998</v>
      </c>
    </row>
    <row r="29" spans="1:6" ht="14.25" customHeight="1">
      <c r="A29" s="3">
        <v>28</v>
      </c>
      <c r="B29" s="3" t="s">
        <v>41</v>
      </c>
      <c r="C29" s="3" t="s">
        <v>20</v>
      </c>
      <c r="D29" s="3">
        <v>2019</v>
      </c>
      <c r="E29" s="4">
        <v>97.21</v>
      </c>
      <c r="F29" s="4">
        <v>723.66</v>
      </c>
    </row>
    <row r="30" spans="1:6" ht="14.25" customHeight="1">
      <c r="A30" s="3">
        <v>29</v>
      </c>
      <c r="B30" s="3" t="s">
        <v>42</v>
      </c>
      <c r="C30" s="3" t="s">
        <v>31</v>
      </c>
      <c r="D30" s="3">
        <v>2024</v>
      </c>
      <c r="E30" s="4">
        <v>226.52</v>
      </c>
      <c r="F30" s="4">
        <v>421.34</v>
      </c>
    </row>
    <row r="31" spans="1:6" ht="14.25" customHeight="1">
      <c r="A31" s="3">
        <v>30</v>
      </c>
      <c r="B31" s="3" t="s">
        <v>43</v>
      </c>
      <c r="C31" s="3" t="s">
        <v>7</v>
      </c>
      <c r="D31" s="3">
        <v>2021</v>
      </c>
      <c r="E31" s="4">
        <v>81.62</v>
      </c>
      <c r="F31" s="4">
        <v>603.88</v>
      </c>
    </row>
    <row r="32" spans="1:6" ht="14.25" customHeight="1">
      <c r="A32" s="3">
        <v>31</v>
      </c>
      <c r="B32" s="3" t="s">
        <v>44</v>
      </c>
      <c r="C32" s="3" t="s">
        <v>31</v>
      </c>
      <c r="D32" s="3">
        <v>2022</v>
      </c>
      <c r="E32" s="4">
        <v>101.91</v>
      </c>
      <c r="F32" s="4">
        <v>207.98</v>
      </c>
    </row>
    <row r="33" spans="1:6" ht="14.25" customHeight="1">
      <c r="A33" s="3">
        <v>32</v>
      </c>
      <c r="B33" s="3" t="s">
        <v>45</v>
      </c>
      <c r="C33" s="3" t="s">
        <v>31</v>
      </c>
      <c r="D33" s="3">
        <v>2024</v>
      </c>
      <c r="E33" s="4">
        <v>71.44</v>
      </c>
      <c r="F33" s="4">
        <v>131.93</v>
      </c>
    </row>
    <row r="34" spans="1:6" ht="14.25" customHeight="1">
      <c r="A34" s="3">
        <v>33</v>
      </c>
      <c r="B34" s="3" t="s">
        <v>46</v>
      </c>
      <c r="C34" s="3" t="s">
        <v>9</v>
      </c>
      <c r="D34" s="3">
        <v>2024</v>
      </c>
      <c r="E34" s="4">
        <v>80.319999999999993</v>
      </c>
      <c r="F34" s="4">
        <v>684.05</v>
      </c>
    </row>
    <row r="35" spans="1:6" ht="14.25" customHeight="1">
      <c r="A35" s="3">
        <v>34</v>
      </c>
      <c r="B35" s="3" t="s">
        <v>47</v>
      </c>
      <c r="C35" s="3" t="s">
        <v>31</v>
      </c>
      <c r="D35" s="3">
        <v>2018</v>
      </c>
      <c r="E35" s="4">
        <v>58.64</v>
      </c>
      <c r="F35" s="4">
        <v>699.93</v>
      </c>
    </row>
    <row r="36" spans="1:6" ht="14.25" customHeight="1">
      <c r="A36" s="3">
        <v>35</v>
      </c>
      <c r="B36" s="3" t="s">
        <v>48</v>
      </c>
      <c r="C36" s="3" t="s">
        <v>31</v>
      </c>
      <c r="D36" s="3">
        <v>2020</v>
      </c>
      <c r="E36" s="4">
        <v>138.78</v>
      </c>
      <c r="F36" s="4">
        <v>303.10000000000002</v>
      </c>
    </row>
    <row r="37" spans="1:6" ht="14.25" customHeight="1">
      <c r="A37" s="3">
        <v>36</v>
      </c>
      <c r="B37" s="3" t="s">
        <v>49</v>
      </c>
      <c r="C37" s="3" t="s">
        <v>20</v>
      </c>
      <c r="D37" s="3">
        <v>2018</v>
      </c>
      <c r="E37" s="4">
        <v>180.62</v>
      </c>
      <c r="F37" s="4">
        <v>229.99</v>
      </c>
    </row>
    <row r="38" spans="1:6" ht="14.25" customHeight="1">
      <c r="A38" s="3">
        <v>37</v>
      </c>
      <c r="B38" s="3" t="s">
        <v>50</v>
      </c>
      <c r="C38" s="3" t="s">
        <v>25</v>
      </c>
      <c r="D38" s="3">
        <v>2024</v>
      </c>
      <c r="E38" s="4">
        <v>104.5</v>
      </c>
      <c r="F38" s="4">
        <v>528.45000000000005</v>
      </c>
    </row>
    <row r="39" spans="1:6" ht="14.25" customHeight="1">
      <c r="A39" s="3">
        <v>38</v>
      </c>
      <c r="B39" s="3" t="s">
        <v>51</v>
      </c>
      <c r="C39" s="3" t="s">
        <v>7</v>
      </c>
      <c r="D39" s="3">
        <v>2024</v>
      </c>
      <c r="E39" s="4">
        <v>134.35</v>
      </c>
      <c r="F39" s="4">
        <v>175.34</v>
      </c>
    </row>
    <row r="40" spans="1:6" ht="14.25" customHeight="1">
      <c r="A40" s="3">
        <v>39</v>
      </c>
      <c r="B40" s="3" t="s">
        <v>52</v>
      </c>
      <c r="C40" s="3" t="s">
        <v>25</v>
      </c>
      <c r="D40" s="3">
        <v>2023</v>
      </c>
      <c r="E40" s="4">
        <v>214.42</v>
      </c>
      <c r="F40" s="4">
        <v>482.58</v>
      </c>
    </row>
    <row r="41" spans="1:6" ht="14.25" customHeight="1">
      <c r="A41" s="3">
        <v>40</v>
      </c>
      <c r="B41" s="3" t="s">
        <v>53</v>
      </c>
      <c r="C41" s="3" t="s">
        <v>20</v>
      </c>
      <c r="D41" s="3">
        <v>2024</v>
      </c>
      <c r="E41" s="4">
        <v>202.71</v>
      </c>
      <c r="F41" s="4">
        <v>245.85</v>
      </c>
    </row>
    <row r="42" spans="1:6" ht="14.25" customHeight="1">
      <c r="A42" s="3">
        <v>41</v>
      </c>
      <c r="B42" s="3" t="s">
        <v>54</v>
      </c>
      <c r="C42" s="3" t="s">
        <v>7</v>
      </c>
      <c r="D42" s="3">
        <v>2022</v>
      </c>
      <c r="E42" s="4">
        <v>153.72</v>
      </c>
      <c r="F42" s="4">
        <v>214.35</v>
      </c>
    </row>
    <row r="43" spans="1:6" ht="14.25" customHeight="1">
      <c r="A43" s="3">
        <v>42</v>
      </c>
      <c r="B43" s="3" t="s">
        <v>55</v>
      </c>
      <c r="C43" s="3" t="s">
        <v>25</v>
      </c>
      <c r="D43" s="3">
        <v>2019</v>
      </c>
      <c r="E43" s="4">
        <v>188.69</v>
      </c>
      <c r="F43" s="4">
        <v>450.04</v>
      </c>
    </row>
    <row r="44" spans="1:6" ht="14.25" customHeight="1">
      <c r="A44" s="3">
        <v>43</v>
      </c>
      <c r="B44" s="3" t="s">
        <v>56</v>
      </c>
      <c r="C44" s="3" t="s">
        <v>31</v>
      </c>
      <c r="D44" s="3">
        <v>2019</v>
      </c>
      <c r="E44" s="4">
        <v>124.93</v>
      </c>
      <c r="F44" s="4">
        <v>341.49</v>
      </c>
    </row>
    <row r="45" spans="1:6" ht="14.25" customHeight="1">
      <c r="A45" s="3">
        <v>44</v>
      </c>
      <c r="B45" s="3" t="s">
        <v>57</v>
      </c>
      <c r="C45" s="3" t="s">
        <v>25</v>
      </c>
      <c r="D45" s="3">
        <v>2018</v>
      </c>
      <c r="E45" s="4">
        <v>55.24</v>
      </c>
      <c r="F45" s="4">
        <v>312.82</v>
      </c>
    </row>
    <row r="46" spans="1:6" ht="14.25" customHeight="1">
      <c r="A46" s="3">
        <v>45</v>
      </c>
      <c r="B46" s="3" t="s">
        <v>58</v>
      </c>
      <c r="C46" s="3" t="s">
        <v>20</v>
      </c>
      <c r="D46" s="3">
        <v>2020</v>
      </c>
      <c r="E46" s="4">
        <v>165.9</v>
      </c>
      <c r="F46" s="4">
        <v>591.34</v>
      </c>
    </row>
    <row r="47" spans="1:6" ht="14.25" customHeight="1">
      <c r="A47" s="3">
        <v>46</v>
      </c>
      <c r="B47" s="3" t="s">
        <v>59</v>
      </c>
      <c r="C47" s="3" t="s">
        <v>16</v>
      </c>
      <c r="D47" s="3">
        <v>2018</v>
      </c>
      <c r="E47" s="4">
        <v>201.77</v>
      </c>
      <c r="F47" s="4">
        <v>255.19</v>
      </c>
    </row>
    <row r="48" spans="1:6" ht="14.25" customHeight="1">
      <c r="A48" s="3">
        <v>47</v>
      </c>
      <c r="B48" s="3" t="s">
        <v>60</v>
      </c>
      <c r="C48" s="3" t="s">
        <v>7</v>
      </c>
      <c r="D48" s="3">
        <v>2023</v>
      </c>
      <c r="E48" s="4">
        <v>88.6</v>
      </c>
      <c r="F48" s="4">
        <v>418.85</v>
      </c>
    </row>
    <row r="49" spans="1:6" ht="14.25" customHeight="1">
      <c r="A49" s="3">
        <v>48</v>
      </c>
      <c r="B49" s="3" t="s">
        <v>61</v>
      </c>
      <c r="C49" s="3" t="s">
        <v>20</v>
      </c>
      <c r="D49" s="3">
        <v>2019</v>
      </c>
      <c r="E49" s="4">
        <v>128.34</v>
      </c>
      <c r="F49" s="4">
        <v>150.69</v>
      </c>
    </row>
    <row r="50" spans="1:6" ht="14.25" customHeight="1">
      <c r="A50" s="3">
        <v>49</v>
      </c>
      <c r="B50" s="3" t="s">
        <v>62</v>
      </c>
      <c r="C50" s="3" t="s">
        <v>16</v>
      </c>
      <c r="D50" s="3">
        <v>2023</v>
      </c>
      <c r="E50" s="4">
        <v>113.03</v>
      </c>
      <c r="F50" s="4">
        <v>456.6</v>
      </c>
    </row>
    <row r="51" spans="1:6" ht="14.25" customHeight="1">
      <c r="A51" s="3">
        <v>50</v>
      </c>
      <c r="B51" s="3" t="s">
        <v>63</v>
      </c>
      <c r="C51" s="3" t="s">
        <v>7</v>
      </c>
      <c r="D51" s="3">
        <v>2024</v>
      </c>
      <c r="E51" s="4">
        <v>224.72</v>
      </c>
      <c r="F51" s="4">
        <v>283.06</v>
      </c>
    </row>
    <row r="52" spans="1:6" ht="14.25" customHeight="1">
      <c r="A52" s="3">
        <v>51</v>
      </c>
      <c r="B52" s="3" t="s">
        <v>64</v>
      </c>
      <c r="C52" s="3" t="s">
        <v>9</v>
      </c>
      <c r="D52" s="3">
        <v>2021</v>
      </c>
      <c r="E52" s="4">
        <v>198.43</v>
      </c>
      <c r="F52" s="4">
        <v>182.42</v>
      </c>
    </row>
    <row r="53" spans="1:6" ht="14.25" customHeight="1">
      <c r="A53" s="3">
        <v>52</v>
      </c>
      <c r="B53" s="3" t="s">
        <v>65</v>
      </c>
      <c r="C53" s="3" t="s">
        <v>9</v>
      </c>
      <c r="D53" s="3">
        <v>2019</v>
      </c>
      <c r="E53" s="4">
        <v>116.57</v>
      </c>
      <c r="F53" s="4">
        <v>460.03</v>
      </c>
    </row>
    <row r="54" spans="1:6" ht="14.25" customHeight="1">
      <c r="A54" s="3">
        <v>53</v>
      </c>
      <c r="B54" s="3" t="s">
        <v>66</v>
      </c>
      <c r="C54" s="3" t="s">
        <v>20</v>
      </c>
      <c r="D54" s="3">
        <v>2024</v>
      </c>
      <c r="E54" s="4">
        <v>187.88</v>
      </c>
      <c r="F54" s="4">
        <v>199.16</v>
      </c>
    </row>
    <row r="55" spans="1:6" ht="14.25" customHeight="1">
      <c r="A55" s="3">
        <v>54</v>
      </c>
      <c r="B55" s="3" t="s">
        <v>67</v>
      </c>
      <c r="C55" s="3" t="s">
        <v>7</v>
      </c>
      <c r="D55" s="3">
        <v>2021</v>
      </c>
      <c r="E55" s="4">
        <v>223.95</v>
      </c>
      <c r="F55" s="4">
        <v>417.2</v>
      </c>
    </row>
    <row r="56" spans="1:6" ht="14.25" customHeight="1">
      <c r="A56" s="3">
        <v>55</v>
      </c>
      <c r="B56" s="3" t="s">
        <v>68</v>
      </c>
      <c r="C56" s="3" t="s">
        <v>28</v>
      </c>
      <c r="D56" s="3">
        <v>2020</v>
      </c>
      <c r="E56" s="4">
        <v>144.44</v>
      </c>
      <c r="F56" s="4">
        <v>679.47</v>
      </c>
    </row>
    <row r="57" spans="1:6" ht="14.25" customHeight="1">
      <c r="A57" s="3">
        <v>56</v>
      </c>
      <c r="B57" s="3" t="s">
        <v>69</v>
      </c>
      <c r="C57" s="3" t="s">
        <v>13</v>
      </c>
      <c r="D57" s="3">
        <v>2022</v>
      </c>
      <c r="E57" s="4">
        <v>166.8</v>
      </c>
      <c r="F57" s="4">
        <v>319.72000000000003</v>
      </c>
    </row>
    <row r="58" spans="1:6" ht="14.25" customHeight="1">
      <c r="A58" s="3">
        <v>57</v>
      </c>
      <c r="B58" s="3" t="s">
        <v>70</v>
      </c>
      <c r="C58" s="3" t="s">
        <v>13</v>
      </c>
      <c r="D58" s="3">
        <v>2023</v>
      </c>
      <c r="E58" s="4">
        <v>82.68</v>
      </c>
      <c r="F58" s="4">
        <v>431.9</v>
      </c>
    </row>
    <row r="59" spans="1:6" ht="14.25" customHeight="1">
      <c r="A59" s="3">
        <v>58</v>
      </c>
      <c r="B59" s="3" t="s">
        <v>71</v>
      </c>
      <c r="C59" s="3" t="s">
        <v>7</v>
      </c>
      <c r="D59" s="3">
        <v>2021</v>
      </c>
      <c r="E59" s="4">
        <v>248.97</v>
      </c>
      <c r="F59" s="4">
        <v>360.57</v>
      </c>
    </row>
    <row r="60" spans="1:6" ht="14.25" customHeight="1">
      <c r="A60" s="3">
        <v>59</v>
      </c>
      <c r="B60" s="3" t="s">
        <v>72</v>
      </c>
      <c r="C60" s="3" t="s">
        <v>16</v>
      </c>
      <c r="D60" s="3">
        <v>2019</v>
      </c>
      <c r="E60" s="4">
        <v>244.93</v>
      </c>
      <c r="F60" s="4">
        <v>188.48</v>
      </c>
    </row>
    <row r="61" spans="1:6" ht="14.25" customHeight="1">
      <c r="A61" s="3">
        <v>60</v>
      </c>
      <c r="B61" s="3" t="s">
        <v>73</v>
      </c>
      <c r="C61" s="3" t="s">
        <v>7</v>
      </c>
      <c r="D61" s="3">
        <v>2018</v>
      </c>
      <c r="E61" s="4">
        <v>212.03</v>
      </c>
      <c r="F61" s="4">
        <v>190.73</v>
      </c>
    </row>
    <row r="62" spans="1:6" ht="14.25" customHeight="1">
      <c r="A62" s="3">
        <v>61</v>
      </c>
      <c r="B62" s="3" t="s">
        <v>74</v>
      </c>
      <c r="C62" s="3" t="s">
        <v>13</v>
      </c>
      <c r="D62" s="3">
        <v>2024</v>
      </c>
      <c r="E62" s="4">
        <v>226.53</v>
      </c>
      <c r="F62" s="4">
        <v>252.86</v>
      </c>
    </row>
    <row r="63" spans="1:6" ht="14.25" customHeight="1">
      <c r="A63" s="3">
        <v>62</v>
      </c>
      <c r="B63" s="3" t="s">
        <v>75</v>
      </c>
      <c r="C63" s="3" t="s">
        <v>13</v>
      </c>
      <c r="D63" s="3">
        <v>2019</v>
      </c>
      <c r="E63" s="4">
        <v>67</v>
      </c>
      <c r="F63" s="4">
        <v>271.83999999999997</v>
      </c>
    </row>
    <row r="64" spans="1:6" ht="14.25" customHeight="1">
      <c r="A64" s="3">
        <v>63</v>
      </c>
      <c r="B64" s="3" t="s">
        <v>76</v>
      </c>
      <c r="C64" s="3" t="s">
        <v>13</v>
      </c>
      <c r="D64" s="3">
        <v>2019</v>
      </c>
      <c r="E64" s="4">
        <v>244.52</v>
      </c>
      <c r="F64" s="4">
        <v>696.68</v>
      </c>
    </row>
    <row r="65" spans="1:6" ht="14.25" customHeight="1">
      <c r="A65" s="3">
        <v>64</v>
      </c>
      <c r="B65" s="3" t="s">
        <v>77</v>
      </c>
      <c r="C65" s="3" t="s">
        <v>31</v>
      </c>
      <c r="D65" s="3">
        <v>2023</v>
      </c>
      <c r="E65" s="4">
        <v>108.5</v>
      </c>
      <c r="F65" s="4">
        <v>302.48</v>
      </c>
    </row>
    <row r="66" spans="1:6" ht="14.25" customHeight="1">
      <c r="A66" s="3">
        <v>65</v>
      </c>
      <c r="B66" s="3" t="s">
        <v>78</v>
      </c>
      <c r="C66" s="3" t="s">
        <v>7</v>
      </c>
      <c r="D66" s="3">
        <v>2022</v>
      </c>
      <c r="E66" s="4">
        <v>108.77</v>
      </c>
      <c r="F66" s="4">
        <v>604.62</v>
      </c>
    </row>
    <row r="67" spans="1:6" ht="14.25" customHeight="1">
      <c r="A67" s="3">
        <v>66</v>
      </c>
      <c r="B67" s="3" t="s">
        <v>79</v>
      </c>
      <c r="C67" s="3" t="s">
        <v>25</v>
      </c>
      <c r="D67" s="3">
        <v>2020</v>
      </c>
      <c r="E67" s="4">
        <v>50.57</v>
      </c>
      <c r="F67" s="4">
        <v>190.36</v>
      </c>
    </row>
    <row r="68" spans="1:6" ht="14.25" customHeight="1">
      <c r="A68" s="3">
        <v>67</v>
      </c>
      <c r="B68" s="3" t="s">
        <v>80</v>
      </c>
      <c r="C68" s="3" t="s">
        <v>16</v>
      </c>
      <c r="D68" s="3">
        <v>2019</v>
      </c>
      <c r="E68" s="4">
        <v>90.69</v>
      </c>
      <c r="F68" s="4">
        <v>292.45999999999998</v>
      </c>
    </row>
    <row r="69" spans="1:6" ht="14.25" customHeight="1">
      <c r="A69" s="3">
        <v>68</v>
      </c>
      <c r="B69" s="3" t="s">
        <v>81</v>
      </c>
      <c r="C69" s="3" t="s">
        <v>20</v>
      </c>
      <c r="D69" s="3">
        <v>2024</v>
      </c>
      <c r="E69" s="4">
        <v>235.45</v>
      </c>
      <c r="F69" s="4">
        <v>940.5</v>
      </c>
    </row>
    <row r="70" spans="1:6" ht="14.25" customHeight="1">
      <c r="A70" s="3">
        <v>69</v>
      </c>
      <c r="B70" s="3" t="s">
        <v>82</v>
      </c>
      <c r="C70" s="3" t="s">
        <v>7</v>
      </c>
      <c r="D70" s="3">
        <v>2019</v>
      </c>
      <c r="E70" s="4">
        <v>80.59</v>
      </c>
      <c r="F70" s="4">
        <v>500.3</v>
      </c>
    </row>
    <row r="71" spans="1:6" ht="14.25" customHeight="1">
      <c r="A71" s="3">
        <v>70</v>
      </c>
      <c r="B71" s="3" t="s">
        <v>83</v>
      </c>
      <c r="C71" s="3" t="s">
        <v>13</v>
      </c>
      <c r="D71" s="3">
        <v>2022</v>
      </c>
      <c r="E71" s="4">
        <v>232.2</v>
      </c>
      <c r="F71" s="4">
        <v>275.83999999999997</v>
      </c>
    </row>
    <row r="72" spans="1:6" ht="14.25" customHeight="1">
      <c r="A72" s="3">
        <v>71</v>
      </c>
      <c r="B72" s="3" t="s">
        <v>84</v>
      </c>
      <c r="C72" s="3" t="s">
        <v>20</v>
      </c>
      <c r="D72" s="3">
        <v>2024</v>
      </c>
      <c r="E72" s="4">
        <v>246.11</v>
      </c>
      <c r="F72" s="4">
        <v>291.39</v>
      </c>
    </row>
    <row r="73" spans="1:6" ht="14.25" customHeight="1">
      <c r="A73" s="3">
        <v>72</v>
      </c>
      <c r="B73" s="3" t="s">
        <v>85</v>
      </c>
      <c r="C73" s="3" t="s">
        <v>20</v>
      </c>
      <c r="D73" s="3">
        <v>2021</v>
      </c>
      <c r="E73" s="4">
        <v>195.3</v>
      </c>
      <c r="F73" s="4">
        <v>286.16000000000003</v>
      </c>
    </row>
    <row r="74" spans="1:6" ht="14.25" customHeight="1">
      <c r="A74" s="3">
        <v>73</v>
      </c>
      <c r="B74" s="3" t="s">
        <v>86</v>
      </c>
      <c r="C74" s="3" t="s">
        <v>9</v>
      </c>
      <c r="D74" s="3">
        <v>2023</v>
      </c>
      <c r="E74" s="4">
        <v>171.36</v>
      </c>
      <c r="F74" s="4">
        <v>308.27999999999997</v>
      </c>
    </row>
    <row r="75" spans="1:6" ht="14.25" customHeight="1">
      <c r="A75" s="3">
        <v>74</v>
      </c>
      <c r="B75" s="3" t="s">
        <v>87</v>
      </c>
      <c r="C75" s="3" t="s">
        <v>20</v>
      </c>
      <c r="D75" s="3">
        <v>2023</v>
      </c>
      <c r="E75" s="4">
        <v>232.86</v>
      </c>
      <c r="F75" s="4">
        <v>864.11</v>
      </c>
    </row>
    <row r="76" spans="1:6" ht="14.25" customHeight="1">
      <c r="A76" s="3">
        <v>75</v>
      </c>
      <c r="B76" s="3" t="s">
        <v>88</v>
      </c>
      <c r="C76" s="3" t="s">
        <v>9</v>
      </c>
      <c r="D76" s="3">
        <v>2019</v>
      </c>
      <c r="E76" s="4">
        <v>131.83000000000001</v>
      </c>
      <c r="F76" s="4">
        <v>897.61</v>
      </c>
    </row>
    <row r="77" spans="1:6" ht="14.25" customHeight="1">
      <c r="A77" s="3">
        <v>76</v>
      </c>
      <c r="B77" s="3" t="s">
        <v>89</v>
      </c>
      <c r="C77" s="3" t="s">
        <v>7</v>
      </c>
      <c r="D77" s="3">
        <v>2020</v>
      </c>
      <c r="E77" s="4">
        <v>114.16</v>
      </c>
      <c r="F77" s="4">
        <v>367.28</v>
      </c>
    </row>
    <row r="78" spans="1:6" ht="14.25" customHeight="1">
      <c r="A78" s="3">
        <v>77</v>
      </c>
      <c r="B78" s="3" t="s">
        <v>90</v>
      </c>
      <c r="C78" s="3" t="s">
        <v>31</v>
      </c>
      <c r="D78" s="3">
        <v>2021</v>
      </c>
      <c r="E78" s="4">
        <v>217.9</v>
      </c>
      <c r="F78" s="4">
        <v>267.16000000000003</v>
      </c>
    </row>
    <row r="79" spans="1:6" ht="14.25" customHeight="1">
      <c r="A79" s="3">
        <v>78</v>
      </c>
      <c r="B79" s="3" t="s">
        <v>91</v>
      </c>
      <c r="C79" s="3" t="s">
        <v>28</v>
      </c>
      <c r="D79" s="3">
        <v>2020</v>
      </c>
      <c r="E79" s="4">
        <v>163.59</v>
      </c>
      <c r="F79" s="4">
        <v>185.82</v>
      </c>
    </row>
    <row r="80" spans="1:6" ht="14.25" customHeight="1">
      <c r="A80" s="3">
        <v>79</v>
      </c>
      <c r="B80" s="3" t="s">
        <v>92</v>
      </c>
      <c r="C80" s="3" t="s">
        <v>7</v>
      </c>
      <c r="D80" s="3">
        <v>2018</v>
      </c>
      <c r="E80" s="4">
        <v>239.19</v>
      </c>
      <c r="F80" s="4">
        <v>796.2</v>
      </c>
    </row>
    <row r="81" spans="1:6" ht="14.25" customHeight="1">
      <c r="A81" s="3">
        <v>80</v>
      </c>
      <c r="B81" s="3" t="s">
        <v>93</v>
      </c>
      <c r="C81" s="3" t="s">
        <v>9</v>
      </c>
      <c r="D81" s="3">
        <v>2020</v>
      </c>
      <c r="E81" s="4">
        <v>71.760000000000005</v>
      </c>
      <c r="F81" s="4">
        <v>162.69999999999999</v>
      </c>
    </row>
    <row r="82" spans="1:6" ht="14.25" customHeight="1">
      <c r="A82" s="3">
        <v>81</v>
      </c>
      <c r="B82" s="3" t="s">
        <v>94</v>
      </c>
      <c r="C82" s="3" t="s">
        <v>9</v>
      </c>
      <c r="D82" s="3">
        <v>2019</v>
      </c>
      <c r="E82" s="4">
        <v>232.89</v>
      </c>
      <c r="F82" s="4">
        <v>703.74</v>
      </c>
    </row>
    <row r="83" spans="1:6" ht="14.25" customHeight="1">
      <c r="A83" s="3">
        <v>82</v>
      </c>
      <c r="B83" s="3" t="s">
        <v>95</v>
      </c>
      <c r="C83" s="3" t="s">
        <v>13</v>
      </c>
      <c r="D83" s="3">
        <v>2018</v>
      </c>
      <c r="E83" s="4">
        <v>232.9</v>
      </c>
      <c r="F83" s="4">
        <v>413.33</v>
      </c>
    </row>
    <row r="84" spans="1:6" ht="14.25" customHeight="1">
      <c r="A84" s="3">
        <v>83</v>
      </c>
      <c r="B84" s="3" t="s">
        <v>96</v>
      </c>
      <c r="C84" s="3" t="s">
        <v>20</v>
      </c>
      <c r="D84" s="3">
        <v>2022</v>
      </c>
      <c r="E84" s="4">
        <v>55.04</v>
      </c>
      <c r="F84" s="4">
        <v>192.1</v>
      </c>
    </row>
    <row r="85" spans="1:6" ht="14.25" customHeight="1">
      <c r="A85" s="3">
        <v>84</v>
      </c>
      <c r="B85" s="3" t="s">
        <v>97</v>
      </c>
      <c r="C85" s="3" t="s">
        <v>25</v>
      </c>
      <c r="D85" s="3">
        <v>2022</v>
      </c>
      <c r="E85" s="4">
        <v>147.41</v>
      </c>
      <c r="F85" s="4">
        <v>717.11</v>
      </c>
    </row>
    <row r="86" spans="1:6" ht="14.25" customHeight="1">
      <c r="A86" s="3">
        <v>85</v>
      </c>
      <c r="B86" s="3" t="s">
        <v>98</v>
      </c>
      <c r="C86" s="3" t="s">
        <v>28</v>
      </c>
      <c r="D86" s="3">
        <v>2024</v>
      </c>
      <c r="E86" s="4">
        <v>193.41</v>
      </c>
      <c r="F86" s="4">
        <v>552.22</v>
      </c>
    </row>
    <row r="87" spans="1:6" ht="14.25" customHeight="1">
      <c r="A87" s="3">
        <v>86</v>
      </c>
      <c r="B87" s="3" t="s">
        <v>99</v>
      </c>
      <c r="C87" s="3" t="s">
        <v>7</v>
      </c>
      <c r="D87" s="3">
        <v>2023</v>
      </c>
      <c r="E87" s="4">
        <v>144.88</v>
      </c>
      <c r="F87" s="4">
        <v>269.26</v>
      </c>
    </row>
    <row r="88" spans="1:6" ht="14.25" customHeight="1">
      <c r="A88" s="3">
        <v>87</v>
      </c>
      <c r="B88" s="3" t="s">
        <v>100</v>
      </c>
      <c r="C88" s="3" t="s">
        <v>7</v>
      </c>
      <c r="D88" s="3">
        <v>2021</v>
      </c>
      <c r="E88" s="4">
        <v>68.81</v>
      </c>
      <c r="F88" s="4">
        <v>343.93</v>
      </c>
    </row>
    <row r="89" spans="1:6" ht="14.25" customHeight="1">
      <c r="A89" s="3">
        <v>88</v>
      </c>
      <c r="B89" s="3" t="s">
        <v>101</v>
      </c>
      <c r="C89" s="3" t="s">
        <v>28</v>
      </c>
      <c r="D89" s="3">
        <v>2019</v>
      </c>
      <c r="E89" s="4">
        <v>159.21</v>
      </c>
      <c r="F89" s="4">
        <v>406.37</v>
      </c>
    </row>
    <row r="90" spans="1:6" ht="14.25" customHeight="1">
      <c r="A90" s="3">
        <v>89</v>
      </c>
      <c r="B90" s="3" t="s">
        <v>102</v>
      </c>
      <c r="C90" s="3" t="s">
        <v>16</v>
      </c>
      <c r="D90" s="3">
        <v>2023</v>
      </c>
      <c r="E90" s="4">
        <v>94.65</v>
      </c>
      <c r="F90" s="4">
        <v>333.92</v>
      </c>
    </row>
    <row r="91" spans="1:6" ht="14.25" customHeight="1">
      <c r="A91" s="3">
        <v>90</v>
      </c>
      <c r="B91" s="3" t="s">
        <v>103</v>
      </c>
      <c r="C91" s="3" t="s">
        <v>16</v>
      </c>
      <c r="D91" s="3">
        <v>2020</v>
      </c>
      <c r="E91" s="4">
        <v>235.02</v>
      </c>
      <c r="F91" s="4">
        <v>405.55</v>
      </c>
    </row>
    <row r="92" spans="1:6" ht="14.25" customHeight="1">
      <c r="A92" s="3">
        <v>91</v>
      </c>
      <c r="B92" s="3" t="s">
        <v>104</v>
      </c>
      <c r="C92" s="3" t="s">
        <v>13</v>
      </c>
      <c r="D92" s="3">
        <v>2018</v>
      </c>
      <c r="E92" s="4">
        <v>218.93</v>
      </c>
      <c r="F92" s="4">
        <v>367.74</v>
      </c>
    </row>
    <row r="93" spans="1:6" ht="14.25" customHeight="1">
      <c r="A93" s="3">
        <v>92</v>
      </c>
      <c r="B93" s="3" t="s">
        <v>105</v>
      </c>
      <c r="C93" s="3" t="s">
        <v>20</v>
      </c>
      <c r="D93" s="3">
        <v>2021</v>
      </c>
      <c r="E93" s="4">
        <v>57.5</v>
      </c>
      <c r="F93" s="4">
        <v>451.96</v>
      </c>
    </row>
    <row r="94" spans="1:6" ht="14.25" customHeight="1">
      <c r="A94" s="3">
        <v>93</v>
      </c>
      <c r="B94" s="3" t="s">
        <v>106</v>
      </c>
      <c r="C94" s="3" t="s">
        <v>20</v>
      </c>
      <c r="D94" s="3">
        <v>2024</v>
      </c>
      <c r="E94" s="4">
        <v>97.17</v>
      </c>
      <c r="F94" s="4">
        <v>387.39</v>
      </c>
    </row>
    <row r="95" spans="1:6" ht="14.25" customHeight="1">
      <c r="A95" s="3">
        <v>94</v>
      </c>
      <c r="B95" s="3" t="s">
        <v>107</v>
      </c>
      <c r="C95" s="3" t="s">
        <v>7</v>
      </c>
      <c r="D95" s="3">
        <v>2021</v>
      </c>
      <c r="E95" s="4">
        <v>167.65</v>
      </c>
      <c r="F95" s="4">
        <v>365.05</v>
      </c>
    </row>
    <row r="96" spans="1:6" ht="14.25" customHeight="1">
      <c r="A96" s="3">
        <v>95</v>
      </c>
      <c r="B96" s="3" t="s">
        <v>108</v>
      </c>
      <c r="C96" s="3" t="s">
        <v>9</v>
      </c>
      <c r="D96" s="3">
        <v>2019</v>
      </c>
      <c r="E96" s="4">
        <v>173.43</v>
      </c>
      <c r="F96" s="4">
        <v>234.55</v>
      </c>
    </row>
    <row r="97" spans="1:6" ht="14.25" customHeight="1">
      <c r="A97" s="3">
        <v>96</v>
      </c>
      <c r="B97" s="3" t="s">
        <v>109</v>
      </c>
      <c r="C97" s="3" t="s">
        <v>20</v>
      </c>
      <c r="D97" s="3">
        <v>2024</v>
      </c>
      <c r="E97" s="4">
        <v>84.45</v>
      </c>
      <c r="F97" s="4">
        <v>362.71</v>
      </c>
    </row>
    <row r="98" spans="1:6" ht="14.25" customHeight="1">
      <c r="A98" s="3">
        <v>97</v>
      </c>
      <c r="B98" s="3" t="s">
        <v>110</v>
      </c>
      <c r="C98" s="3" t="s">
        <v>7</v>
      </c>
      <c r="D98" s="3">
        <v>2024</v>
      </c>
      <c r="E98" s="4">
        <v>171.4</v>
      </c>
      <c r="F98" s="4">
        <v>210.48</v>
      </c>
    </row>
    <row r="99" spans="1:6" ht="14.25" customHeight="1">
      <c r="A99" s="3">
        <v>98</v>
      </c>
      <c r="B99" s="3" t="s">
        <v>111</v>
      </c>
      <c r="C99" s="3" t="s">
        <v>25</v>
      </c>
      <c r="D99" s="3">
        <v>2024</v>
      </c>
      <c r="E99" s="4">
        <v>222.13</v>
      </c>
      <c r="F99" s="4">
        <v>841.71</v>
      </c>
    </row>
    <row r="100" spans="1:6" ht="14.25" customHeight="1">
      <c r="A100" s="3">
        <v>99</v>
      </c>
      <c r="B100" s="3" t="s">
        <v>112</v>
      </c>
      <c r="C100" s="3" t="s">
        <v>9</v>
      </c>
      <c r="D100" s="3">
        <v>2020</v>
      </c>
      <c r="E100" s="4">
        <v>134.83000000000001</v>
      </c>
      <c r="F100" s="4">
        <v>150.02000000000001</v>
      </c>
    </row>
    <row r="101" spans="1:6" ht="14.25" customHeight="1">
      <c r="A101" s="3">
        <v>100</v>
      </c>
      <c r="B101" s="3" t="s">
        <v>113</v>
      </c>
      <c r="C101" s="3" t="s">
        <v>9</v>
      </c>
      <c r="D101" s="3">
        <v>2018</v>
      </c>
      <c r="E101" s="4">
        <v>51.65</v>
      </c>
      <c r="F101" s="4">
        <v>451.22</v>
      </c>
    </row>
    <row r="102" spans="1:6" ht="14.25" customHeight="1">
      <c r="A102" s="3">
        <v>101</v>
      </c>
      <c r="B102" s="3" t="s">
        <v>114</v>
      </c>
      <c r="C102" s="3" t="s">
        <v>13</v>
      </c>
      <c r="D102" s="3">
        <v>2024</v>
      </c>
      <c r="E102" s="4">
        <v>235.73</v>
      </c>
      <c r="F102" s="4">
        <v>494.32</v>
      </c>
    </row>
    <row r="103" spans="1:6" ht="14.25" customHeight="1">
      <c r="A103" s="3">
        <v>102</v>
      </c>
      <c r="B103" s="3" t="s">
        <v>115</v>
      </c>
      <c r="C103" s="3" t="s">
        <v>25</v>
      </c>
      <c r="D103" s="3">
        <v>2019</v>
      </c>
      <c r="E103" s="4">
        <v>108.79</v>
      </c>
      <c r="F103" s="4">
        <v>192.68</v>
      </c>
    </row>
    <row r="104" spans="1:6" ht="14.25" customHeight="1">
      <c r="A104" s="3">
        <v>103</v>
      </c>
      <c r="B104" s="3" t="s">
        <v>116</v>
      </c>
      <c r="C104" s="3" t="s">
        <v>16</v>
      </c>
      <c r="D104" s="3">
        <v>2022</v>
      </c>
      <c r="E104" s="4">
        <v>134.83000000000001</v>
      </c>
      <c r="F104" s="4">
        <v>122.59</v>
      </c>
    </row>
    <row r="105" spans="1:6" ht="14.25" customHeight="1">
      <c r="A105" s="3">
        <v>104</v>
      </c>
      <c r="B105" s="3" t="s">
        <v>117</v>
      </c>
      <c r="C105" s="3" t="s">
        <v>16</v>
      </c>
      <c r="D105" s="3">
        <v>2024</v>
      </c>
      <c r="E105" s="4">
        <v>94.6</v>
      </c>
      <c r="F105" s="4">
        <v>293.95999999999998</v>
      </c>
    </row>
    <row r="106" spans="1:6" ht="14.25" customHeight="1">
      <c r="A106" s="3">
        <v>105</v>
      </c>
      <c r="B106" s="3" t="s">
        <v>118</v>
      </c>
      <c r="C106" s="3" t="s">
        <v>9</v>
      </c>
      <c r="D106" s="3">
        <v>2020</v>
      </c>
      <c r="E106" s="4">
        <v>94.32</v>
      </c>
      <c r="F106" s="4">
        <v>491.14</v>
      </c>
    </row>
    <row r="107" spans="1:6" ht="14.25" customHeight="1">
      <c r="A107" s="3">
        <v>106</v>
      </c>
      <c r="B107" s="3" t="s">
        <v>119</v>
      </c>
      <c r="C107" s="3" t="s">
        <v>9</v>
      </c>
      <c r="D107" s="3">
        <v>2024</v>
      </c>
      <c r="E107" s="4">
        <v>146.66</v>
      </c>
      <c r="F107" s="4">
        <v>280.52999999999997</v>
      </c>
    </row>
    <row r="108" spans="1:6" ht="14.25" customHeight="1">
      <c r="A108" s="3">
        <v>107</v>
      </c>
      <c r="B108" s="3" t="s">
        <v>120</v>
      </c>
      <c r="C108" s="3" t="s">
        <v>16</v>
      </c>
      <c r="D108" s="3">
        <v>2022</v>
      </c>
      <c r="E108" s="4">
        <v>100.87</v>
      </c>
      <c r="F108" s="4">
        <v>518.67999999999995</v>
      </c>
    </row>
    <row r="109" spans="1:6" ht="14.25" customHeight="1">
      <c r="A109" s="3">
        <v>108</v>
      </c>
      <c r="B109" s="3" t="s">
        <v>121</v>
      </c>
      <c r="C109" s="3" t="s">
        <v>13</v>
      </c>
      <c r="D109" s="3">
        <v>2019</v>
      </c>
      <c r="E109" s="4">
        <v>168.45</v>
      </c>
      <c r="F109" s="4">
        <v>148.83000000000001</v>
      </c>
    </row>
    <row r="110" spans="1:6" ht="14.25" customHeight="1">
      <c r="A110" s="3">
        <v>109</v>
      </c>
      <c r="B110" s="3" t="s">
        <v>122</v>
      </c>
      <c r="C110" s="3" t="s">
        <v>20</v>
      </c>
      <c r="D110" s="3">
        <v>2020</v>
      </c>
      <c r="E110" s="4">
        <v>175.39</v>
      </c>
      <c r="F110" s="4">
        <v>205.89</v>
      </c>
    </row>
    <row r="111" spans="1:6" ht="14.25" customHeight="1">
      <c r="A111" s="3">
        <v>110</v>
      </c>
      <c r="B111" s="3" t="s">
        <v>123</v>
      </c>
      <c r="C111" s="3" t="s">
        <v>28</v>
      </c>
      <c r="D111" s="3">
        <v>2020</v>
      </c>
      <c r="E111" s="4">
        <v>104.83</v>
      </c>
      <c r="F111" s="4">
        <v>151.49</v>
      </c>
    </row>
    <row r="112" spans="1:6" ht="14.25" customHeight="1">
      <c r="A112" s="3">
        <v>111</v>
      </c>
      <c r="B112" s="3" t="s">
        <v>124</v>
      </c>
      <c r="C112" s="3" t="s">
        <v>28</v>
      </c>
      <c r="D112" s="3">
        <v>2024</v>
      </c>
      <c r="E112" s="4">
        <v>119.02</v>
      </c>
      <c r="F112" s="4">
        <v>104.2</v>
      </c>
    </row>
    <row r="113" spans="1:6" ht="14.25" customHeight="1">
      <c r="A113" s="3">
        <v>112</v>
      </c>
      <c r="B113" s="3" t="s">
        <v>125</v>
      </c>
      <c r="C113" s="3" t="s">
        <v>7</v>
      </c>
      <c r="D113" s="3">
        <v>2021</v>
      </c>
      <c r="E113" s="4">
        <v>186.61</v>
      </c>
      <c r="F113" s="4">
        <v>230.64</v>
      </c>
    </row>
    <row r="114" spans="1:6" ht="14.25" customHeight="1">
      <c r="A114" s="3">
        <v>113</v>
      </c>
      <c r="B114" s="3" t="s">
        <v>126</v>
      </c>
      <c r="C114" s="3" t="s">
        <v>25</v>
      </c>
      <c r="D114" s="3">
        <v>2020</v>
      </c>
      <c r="E114" s="4">
        <v>249.37</v>
      </c>
      <c r="F114" s="4">
        <v>207.3</v>
      </c>
    </row>
    <row r="115" spans="1:6" ht="14.25" customHeight="1">
      <c r="A115" s="3">
        <v>114</v>
      </c>
      <c r="B115" s="3" t="s">
        <v>127</v>
      </c>
      <c r="C115" s="3" t="s">
        <v>28</v>
      </c>
      <c r="D115" s="3">
        <v>2020</v>
      </c>
      <c r="E115" s="4">
        <v>131.03</v>
      </c>
      <c r="F115" s="4">
        <v>503.53</v>
      </c>
    </row>
    <row r="116" spans="1:6" ht="14.25" customHeight="1">
      <c r="A116" s="3">
        <v>115</v>
      </c>
      <c r="B116" s="3" t="s">
        <v>128</v>
      </c>
      <c r="C116" s="3" t="s">
        <v>20</v>
      </c>
      <c r="D116" s="3">
        <v>2020</v>
      </c>
      <c r="E116" s="4">
        <v>77.91</v>
      </c>
      <c r="F116" s="4">
        <v>250.83</v>
      </c>
    </row>
    <row r="117" spans="1:6" ht="14.25" customHeight="1">
      <c r="A117" s="3">
        <v>116</v>
      </c>
      <c r="B117" s="3" t="s">
        <v>129</v>
      </c>
      <c r="C117" s="3" t="s">
        <v>13</v>
      </c>
      <c r="D117" s="3">
        <v>2018</v>
      </c>
      <c r="E117" s="4">
        <v>82.03</v>
      </c>
      <c r="F117" s="4">
        <v>350.01</v>
      </c>
    </row>
    <row r="118" spans="1:6" ht="14.25" customHeight="1">
      <c r="A118" s="3">
        <v>117</v>
      </c>
      <c r="B118" s="3" t="s">
        <v>130</v>
      </c>
      <c r="C118" s="3" t="s">
        <v>13</v>
      </c>
      <c r="D118" s="3">
        <v>2023</v>
      </c>
      <c r="E118" s="4">
        <v>88.7</v>
      </c>
      <c r="F118" s="4">
        <v>290.89999999999998</v>
      </c>
    </row>
    <row r="119" spans="1:6" ht="14.25" customHeight="1">
      <c r="A119" s="3">
        <v>118</v>
      </c>
      <c r="B119" s="3" t="s">
        <v>131</v>
      </c>
      <c r="C119" s="3" t="s">
        <v>20</v>
      </c>
      <c r="D119" s="3">
        <v>2023</v>
      </c>
      <c r="E119" s="4">
        <v>162.36000000000001</v>
      </c>
      <c r="F119" s="4">
        <v>348.24</v>
      </c>
    </row>
    <row r="120" spans="1:6" ht="14.25" customHeight="1">
      <c r="A120" s="3">
        <v>119</v>
      </c>
      <c r="B120" s="3" t="s">
        <v>132</v>
      </c>
      <c r="C120" s="3" t="s">
        <v>25</v>
      </c>
      <c r="D120" s="3">
        <v>2023</v>
      </c>
      <c r="E120" s="4">
        <v>137.99</v>
      </c>
      <c r="F120" s="4">
        <v>581.02</v>
      </c>
    </row>
    <row r="121" spans="1:6" ht="14.25" customHeight="1">
      <c r="A121" s="3">
        <v>120</v>
      </c>
      <c r="B121" s="3" t="s">
        <v>133</v>
      </c>
      <c r="C121" s="3" t="s">
        <v>20</v>
      </c>
      <c r="D121" s="3">
        <v>2022</v>
      </c>
      <c r="E121" s="4">
        <v>120.23</v>
      </c>
      <c r="F121" s="4">
        <v>229.59</v>
      </c>
    </row>
    <row r="122" spans="1:6" ht="14.25" customHeight="1">
      <c r="A122" s="3">
        <v>121</v>
      </c>
      <c r="B122" s="3" t="s">
        <v>134</v>
      </c>
      <c r="C122" s="3" t="s">
        <v>7</v>
      </c>
      <c r="D122" s="3">
        <v>2023</v>
      </c>
      <c r="E122" s="4">
        <v>169.95</v>
      </c>
      <c r="F122" s="4">
        <v>315.18</v>
      </c>
    </row>
    <row r="123" spans="1:6" ht="14.25" customHeight="1">
      <c r="A123" s="3">
        <v>122</v>
      </c>
      <c r="B123" s="3" t="s">
        <v>135</v>
      </c>
      <c r="C123" s="3" t="s">
        <v>9</v>
      </c>
      <c r="D123" s="3">
        <v>2024</v>
      </c>
      <c r="E123" s="4">
        <v>231.33</v>
      </c>
      <c r="F123" s="4">
        <v>739.25</v>
      </c>
    </row>
    <row r="124" spans="1:6" ht="14.25" customHeight="1">
      <c r="A124" s="3">
        <v>123</v>
      </c>
      <c r="B124" s="3" t="s">
        <v>136</v>
      </c>
      <c r="C124" s="3" t="s">
        <v>25</v>
      </c>
      <c r="D124" s="3">
        <v>2021</v>
      </c>
      <c r="E124" s="4">
        <v>187.11</v>
      </c>
      <c r="F124" s="4">
        <v>126.23</v>
      </c>
    </row>
    <row r="125" spans="1:6" ht="14.25" customHeight="1">
      <c r="A125" s="3">
        <v>124</v>
      </c>
      <c r="B125" s="3" t="s">
        <v>137</v>
      </c>
      <c r="C125" s="3" t="s">
        <v>7</v>
      </c>
      <c r="D125" s="3">
        <v>2019</v>
      </c>
      <c r="E125" s="4">
        <v>134.74</v>
      </c>
      <c r="F125" s="4">
        <v>547.13</v>
      </c>
    </row>
    <row r="126" spans="1:6" ht="14.25" customHeight="1">
      <c r="A126" s="3">
        <v>125</v>
      </c>
      <c r="B126" s="3" t="s">
        <v>138</v>
      </c>
      <c r="C126" s="3" t="s">
        <v>7</v>
      </c>
      <c r="D126" s="3">
        <v>2021</v>
      </c>
      <c r="E126" s="4">
        <v>66.8</v>
      </c>
      <c r="F126" s="4">
        <v>610.69000000000005</v>
      </c>
    </row>
    <row r="127" spans="1:6" ht="14.25" customHeight="1">
      <c r="A127" s="3">
        <v>126</v>
      </c>
      <c r="B127" s="3" t="s">
        <v>139</v>
      </c>
      <c r="C127" s="3" t="s">
        <v>28</v>
      </c>
      <c r="D127" s="3">
        <v>2024</v>
      </c>
      <c r="E127" s="4">
        <v>177.93</v>
      </c>
      <c r="F127" s="4">
        <v>165.28</v>
      </c>
    </row>
    <row r="128" spans="1:6" ht="14.25" customHeight="1">
      <c r="A128" s="3">
        <v>127</v>
      </c>
      <c r="B128" s="3" t="s">
        <v>140</v>
      </c>
      <c r="C128" s="3" t="s">
        <v>28</v>
      </c>
      <c r="D128" s="3">
        <v>2018</v>
      </c>
      <c r="E128" s="4">
        <v>230.19</v>
      </c>
      <c r="F128" s="4">
        <v>520.71</v>
      </c>
    </row>
    <row r="129" spans="1:6" ht="14.25" customHeight="1">
      <c r="A129" s="3">
        <v>128</v>
      </c>
      <c r="B129" s="3" t="s">
        <v>141</v>
      </c>
      <c r="C129" s="3" t="s">
        <v>16</v>
      </c>
      <c r="D129" s="3">
        <v>2023</v>
      </c>
      <c r="E129" s="4">
        <v>70.67</v>
      </c>
      <c r="F129" s="4">
        <v>477.23</v>
      </c>
    </row>
    <row r="130" spans="1:6" ht="14.25" customHeight="1">
      <c r="A130" s="3">
        <v>129</v>
      </c>
      <c r="B130" s="3" t="s">
        <v>142</v>
      </c>
      <c r="C130" s="3" t="s">
        <v>16</v>
      </c>
      <c r="D130" s="3">
        <v>2019</v>
      </c>
      <c r="E130" s="4">
        <v>108.38</v>
      </c>
      <c r="F130" s="4">
        <v>263.14</v>
      </c>
    </row>
    <row r="131" spans="1:6" ht="14.25" customHeight="1">
      <c r="A131" s="3">
        <v>130</v>
      </c>
      <c r="B131" s="3" t="s">
        <v>143</v>
      </c>
      <c r="C131" s="3" t="s">
        <v>9</v>
      </c>
      <c r="D131" s="3">
        <v>2021</v>
      </c>
      <c r="E131" s="4">
        <v>132.71</v>
      </c>
      <c r="F131" s="4">
        <v>721.53</v>
      </c>
    </row>
    <row r="132" spans="1:6" ht="14.25" customHeight="1">
      <c r="A132" s="3">
        <v>131</v>
      </c>
      <c r="B132" s="3" t="s">
        <v>144</v>
      </c>
      <c r="C132" s="3" t="s">
        <v>28</v>
      </c>
      <c r="D132" s="3">
        <v>2023</v>
      </c>
      <c r="E132" s="4">
        <v>149</v>
      </c>
      <c r="F132" s="4">
        <v>162.57</v>
      </c>
    </row>
    <row r="133" spans="1:6" ht="14.25" customHeight="1">
      <c r="A133" s="3">
        <v>132</v>
      </c>
      <c r="B133" s="3" t="s">
        <v>145</v>
      </c>
      <c r="C133" s="3" t="s">
        <v>9</v>
      </c>
      <c r="D133" s="3">
        <v>2018</v>
      </c>
      <c r="E133" s="4">
        <v>189.99</v>
      </c>
      <c r="F133" s="4">
        <v>687.38</v>
      </c>
    </row>
    <row r="134" spans="1:6" ht="14.25" customHeight="1">
      <c r="A134" s="3">
        <v>133</v>
      </c>
      <c r="B134" s="3" t="s">
        <v>146</v>
      </c>
      <c r="C134" s="3" t="s">
        <v>20</v>
      </c>
      <c r="D134" s="3">
        <v>2021</v>
      </c>
      <c r="E134" s="4">
        <v>220.03</v>
      </c>
      <c r="F134" s="4">
        <v>372.1</v>
      </c>
    </row>
    <row r="135" spans="1:6" ht="14.25" customHeight="1">
      <c r="A135" s="3">
        <v>134</v>
      </c>
      <c r="B135" s="3" t="s">
        <v>147</v>
      </c>
      <c r="C135" s="3" t="s">
        <v>16</v>
      </c>
      <c r="D135" s="3">
        <v>2022</v>
      </c>
      <c r="E135" s="4">
        <v>123.45</v>
      </c>
      <c r="F135" s="4">
        <v>427.12</v>
      </c>
    </row>
    <row r="136" spans="1:6" ht="14.25" customHeight="1">
      <c r="A136" s="3">
        <v>135</v>
      </c>
      <c r="B136" s="3" t="s">
        <v>148</v>
      </c>
      <c r="C136" s="3" t="s">
        <v>31</v>
      </c>
      <c r="D136" s="3">
        <v>2023</v>
      </c>
      <c r="E136" s="4">
        <v>171.49</v>
      </c>
      <c r="F136" s="4">
        <v>144.93</v>
      </c>
    </row>
    <row r="137" spans="1:6" ht="14.25" customHeight="1">
      <c r="A137" s="3">
        <v>136</v>
      </c>
      <c r="B137" s="3" t="s">
        <v>149</v>
      </c>
      <c r="C137" s="3" t="s">
        <v>16</v>
      </c>
      <c r="D137" s="3">
        <v>2019</v>
      </c>
      <c r="E137" s="4">
        <v>165.12</v>
      </c>
      <c r="F137" s="4">
        <v>612.01</v>
      </c>
    </row>
    <row r="138" spans="1:6" ht="14.25" customHeight="1">
      <c r="A138" s="3">
        <v>137</v>
      </c>
      <c r="B138" s="3" t="s">
        <v>150</v>
      </c>
      <c r="C138" s="3" t="s">
        <v>20</v>
      </c>
      <c r="D138" s="3">
        <v>2024</v>
      </c>
      <c r="E138" s="4">
        <v>62.99</v>
      </c>
      <c r="F138" s="4">
        <v>420.86</v>
      </c>
    </row>
    <row r="139" spans="1:6" ht="14.25" customHeight="1">
      <c r="A139" s="3">
        <v>138</v>
      </c>
      <c r="B139" s="3" t="s">
        <v>151</v>
      </c>
      <c r="C139" s="3" t="s">
        <v>16</v>
      </c>
      <c r="D139" s="3">
        <v>2022</v>
      </c>
      <c r="E139" s="4">
        <v>73.62</v>
      </c>
      <c r="F139" s="4">
        <v>313.98</v>
      </c>
    </row>
    <row r="140" spans="1:6" ht="14.25" customHeight="1">
      <c r="A140" s="3">
        <v>139</v>
      </c>
      <c r="B140" s="3" t="s">
        <v>152</v>
      </c>
      <c r="C140" s="3" t="s">
        <v>7</v>
      </c>
      <c r="D140" s="3">
        <v>2022</v>
      </c>
      <c r="E140" s="4">
        <v>129.5</v>
      </c>
      <c r="F140" s="4">
        <v>184.12</v>
      </c>
    </row>
    <row r="141" spans="1:6" ht="14.25" customHeight="1">
      <c r="A141" s="3">
        <v>140</v>
      </c>
      <c r="B141" s="3" t="s">
        <v>153</v>
      </c>
      <c r="C141" s="3" t="s">
        <v>28</v>
      </c>
      <c r="D141" s="3">
        <v>2019</v>
      </c>
      <c r="E141" s="4">
        <v>141.46</v>
      </c>
      <c r="F141" s="4">
        <v>323.89</v>
      </c>
    </row>
    <row r="142" spans="1:6" ht="14.25" customHeight="1">
      <c r="A142" s="3">
        <v>141</v>
      </c>
      <c r="B142" s="3" t="s">
        <v>154</v>
      </c>
      <c r="C142" s="3" t="s">
        <v>31</v>
      </c>
      <c r="D142" s="3">
        <v>2019</v>
      </c>
      <c r="E142" s="4">
        <v>247.02</v>
      </c>
      <c r="F142" s="4">
        <v>544.70000000000005</v>
      </c>
    </row>
    <row r="143" spans="1:6" ht="14.25" customHeight="1">
      <c r="A143" s="3">
        <v>142</v>
      </c>
      <c r="B143" s="3" t="s">
        <v>155</v>
      </c>
      <c r="C143" s="3" t="s">
        <v>7</v>
      </c>
      <c r="D143" s="3">
        <v>2023</v>
      </c>
      <c r="E143" s="4">
        <v>138.09</v>
      </c>
      <c r="F143" s="4">
        <v>652.91999999999996</v>
      </c>
    </row>
    <row r="144" spans="1:6" ht="14.25" customHeight="1">
      <c r="A144" s="3">
        <v>143</v>
      </c>
      <c r="B144" s="3" t="s">
        <v>156</v>
      </c>
      <c r="C144" s="3" t="s">
        <v>31</v>
      </c>
      <c r="D144" s="3">
        <v>2022</v>
      </c>
      <c r="E144" s="4">
        <v>109.17</v>
      </c>
      <c r="F144" s="4">
        <v>621.87</v>
      </c>
    </row>
    <row r="145" spans="1:6" ht="14.25" customHeight="1">
      <c r="A145" s="3">
        <v>144</v>
      </c>
      <c r="B145" s="3" t="s">
        <v>157</v>
      </c>
      <c r="C145" s="3" t="s">
        <v>13</v>
      </c>
      <c r="D145" s="3">
        <v>2019</v>
      </c>
      <c r="E145" s="4">
        <v>214.94</v>
      </c>
      <c r="F145" s="4">
        <v>458.87</v>
      </c>
    </row>
    <row r="146" spans="1:6" ht="14.25" customHeight="1">
      <c r="A146" s="3">
        <v>145</v>
      </c>
      <c r="B146" s="3" t="s">
        <v>158</v>
      </c>
      <c r="C146" s="3" t="s">
        <v>16</v>
      </c>
      <c r="D146" s="3">
        <v>2019</v>
      </c>
      <c r="E146" s="4">
        <v>134.83000000000001</v>
      </c>
      <c r="F146" s="4">
        <v>524.82000000000005</v>
      </c>
    </row>
    <row r="147" spans="1:6" ht="14.25" customHeight="1">
      <c r="A147" s="3">
        <v>146</v>
      </c>
      <c r="B147" s="3" t="s">
        <v>159</v>
      </c>
      <c r="C147" s="3" t="s">
        <v>7</v>
      </c>
      <c r="D147" s="3">
        <v>2022</v>
      </c>
      <c r="E147" s="4">
        <v>94.58</v>
      </c>
      <c r="F147" s="4">
        <v>215.64</v>
      </c>
    </row>
    <row r="148" spans="1:6" ht="14.25" customHeight="1">
      <c r="A148" s="3">
        <v>147</v>
      </c>
      <c r="B148" s="3" t="s">
        <v>160</v>
      </c>
      <c r="C148" s="3" t="s">
        <v>31</v>
      </c>
      <c r="D148" s="3">
        <v>2020</v>
      </c>
      <c r="E148" s="4">
        <v>124.46</v>
      </c>
      <c r="F148" s="4">
        <v>350.23</v>
      </c>
    </row>
    <row r="149" spans="1:6" ht="14.25" customHeight="1">
      <c r="A149" s="3">
        <v>148</v>
      </c>
      <c r="B149" s="3" t="s">
        <v>161</v>
      </c>
      <c r="C149" s="3" t="s">
        <v>28</v>
      </c>
      <c r="D149" s="3">
        <v>2022</v>
      </c>
      <c r="E149" s="4">
        <v>116.49</v>
      </c>
      <c r="F149" s="4">
        <v>645.78</v>
      </c>
    </row>
    <row r="150" spans="1:6" ht="14.25" customHeight="1">
      <c r="A150" s="3">
        <v>149</v>
      </c>
      <c r="B150" s="3" t="s">
        <v>162</v>
      </c>
      <c r="C150" s="3" t="s">
        <v>31</v>
      </c>
      <c r="D150" s="3">
        <v>2020</v>
      </c>
      <c r="E150" s="4">
        <v>183.45</v>
      </c>
      <c r="F150" s="4">
        <v>398.97</v>
      </c>
    </row>
    <row r="151" spans="1:6" ht="14.25" customHeight="1">
      <c r="A151" s="3">
        <v>150</v>
      </c>
      <c r="B151" s="3" t="s">
        <v>163</v>
      </c>
      <c r="C151" s="3" t="s">
        <v>20</v>
      </c>
      <c r="D151" s="3">
        <v>2020</v>
      </c>
      <c r="E151" s="4">
        <v>247.9</v>
      </c>
      <c r="F151" s="4">
        <v>116.01</v>
      </c>
    </row>
    <row r="152" spans="1:6" ht="14.25" customHeight="1">
      <c r="A152" s="3">
        <v>151</v>
      </c>
      <c r="B152" s="3" t="s">
        <v>164</v>
      </c>
      <c r="C152" s="3" t="s">
        <v>16</v>
      </c>
      <c r="D152" s="3">
        <v>2021</v>
      </c>
      <c r="E152" s="4">
        <v>235.94</v>
      </c>
      <c r="F152" s="4">
        <v>139.15</v>
      </c>
    </row>
    <row r="153" spans="1:6" ht="14.25" customHeight="1">
      <c r="A153" s="3">
        <v>152</v>
      </c>
      <c r="B153" s="3" t="s">
        <v>165</v>
      </c>
      <c r="C153" s="3" t="s">
        <v>13</v>
      </c>
      <c r="D153" s="3">
        <v>2021</v>
      </c>
      <c r="E153" s="4">
        <v>117.35</v>
      </c>
      <c r="F153" s="4">
        <v>325.14</v>
      </c>
    </row>
    <row r="154" spans="1:6" ht="14.25" customHeight="1">
      <c r="A154" s="3">
        <v>153</v>
      </c>
      <c r="B154" s="3" t="s">
        <v>166</v>
      </c>
      <c r="C154" s="3" t="s">
        <v>20</v>
      </c>
      <c r="D154" s="3">
        <v>2024</v>
      </c>
      <c r="E154" s="4">
        <v>171.42</v>
      </c>
      <c r="F154" s="4">
        <v>241.77</v>
      </c>
    </row>
    <row r="155" spans="1:6" ht="14.25" customHeight="1">
      <c r="A155" s="3">
        <v>154</v>
      </c>
      <c r="B155" s="3" t="s">
        <v>167</v>
      </c>
      <c r="C155" s="3" t="s">
        <v>31</v>
      </c>
      <c r="D155" s="3">
        <v>2024</v>
      </c>
      <c r="E155" s="4">
        <v>104.22</v>
      </c>
      <c r="F155" s="4">
        <v>491.63</v>
      </c>
    </row>
    <row r="156" spans="1:6" ht="14.25" customHeight="1">
      <c r="A156" s="3">
        <v>155</v>
      </c>
      <c r="B156" s="3" t="s">
        <v>168</v>
      </c>
      <c r="C156" s="3" t="s">
        <v>13</v>
      </c>
      <c r="D156" s="3">
        <v>2024</v>
      </c>
      <c r="E156" s="4">
        <v>190.76</v>
      </c>
      <c r="F156" s="4">
        <v>355.84</v>
      </c>
    </row>
    <row r="157" spans="1:6" ht="14.25" customHeight="1">
      <c r="A157" s="3">
        <v>156</v>
      </c>
      <c r="B157" s="3" t="s">
        <v>169</v>
      </c>
      <c r="C157" s="3" t="s">
        <v>9</v>
      </c>
      <c r="D157" s="3">
        <v>2021</v>
      </c>
      <c r="E157" s="4">
        <v>238.34</v>
      </c>
      <c r="F157" s="4">
        <v>130.5</v>
      </c>
    </row>
    <row r="158" spans="1:6" ht="14.25" customHeight="1">
      <c r="A158" s="3">
        <v>157</v>
      </c>
      <c r="B158" s="3" t="s">
        <v>170</v>
      </c>
      <c r="C158" s="3" t="s">
        <v>7</v>
      </c>
      <c r="D158" s="3">
        <v>2019</v>
      </c>
      <c r="E158" s="4">
        <v>188.5</v>
      </c>
      <c r="F158" s="4">
        <v>308.52</v>
      </c>
    </row>
    <row r="159" spans="1:6" ht="14.25" customHeight="1">
      <c r="A159" s="3">
        <v>158</v>
      </c>
      <c r="B159" s="3" t="s">
        <v>171</v>
      </c>
      <c r="C159" s="3" t="s">
        <v>16</v>
      </c>
      <c r="D159" s="3">
        <v>2022</v>
      </c>
      <c r="E159" s="4">
        <v>236.59</v>
      </c>
      <c r="F159" s="4">
        <v>742.68</v>
      </c>
    </row>
    <row r="160" spans="1:6" ht="14.25" customHeight="1">
      <c r="A160" s="3">
        <v>159</v>
      </c>
      <c r="B160" s="3" t="s">
        <v>172</v>
      </c>
      <c r="C160" s="3" t="s">
        <v>28</v>
      </c>
      <c r="D160" s="3">
        <v>2021</v>
      </c>
      <c r="E160" s="4">
        <v>233.72</v>
      </c>
      <c r="F160" s="4">
        <v>215.91</v>
      </c>
    </row>
    <row r="161" spans="1:6" ht="14.25" customHeight="1">
      <c r="A161" s="3">
        <v>160</v>
      </c>
      <c r="B161" s="3" t="s">
        <v>173</v>
      </c>
      <c r="C161" s="3" t="s">
        <v>28</v>
      </c>
      <c r="D161" s="3">
        <v>2021</v>
      </c>
      <c r="E161" s="4">
        <v>152.22999999999999</v>
      </c>
      <c r="F161" s="4">
        <v>934.23</v>
      </c>
    </row>
    <row r="162" spans="1:6" ht="14.25" customHeight="1">
      <c r="A162" s="3">
        <v>161</v>
      </c>
      <c r="B162" s="3" t="s">
        <v>174</v>
      </c>
      <c r="C162" s="3" t="s">
        <v>13</v>
      </c>
      <c r="D162" s="3">
        <v>2018</v>
      </c>
      <c r="E162" s="4">
        <v>209.26</v>
      </c>
      <c r="F162" s="4">
        <v>660.9</v>
      </c>
    </row>
    <row r="163" spans="1:6" ht="14.25" customHeight="1">
      <c r="A163" s="3">
        <v>162</v>
      </c>
      <c r="B163" s="3" t="s">
        <v>175</v>
      </c>
      <c r="C163" s="3" t="s">
        <v>28</v>
      </c>
      <c r="D163" s="3">
        <v>2022</v>
      </c>
      <c r="E163" s="4">
        <v>161.25</v>
      </c>
      <c r="F163" s="4">
        <v>756.67</v>
      </c>
    </row>
    <row r="164" spans="1:6" ht="14.25" customHeight="1">
      <c r="A164" s="3">
        <v>163</v>
      </c>
      <c r="B164" s="3" t="s">
        <v>176</v>
      </c>
      <c r="C164" s="3" t="s">
        <v>16</v>
      </c>
      <c r="D164" s="3">
        <v>2022</v>
      </c>
      <c r="E164" s="4">
        <v>96.23</v>
      </c>
      <c r="F164" s="4">
        <v>426.42</v>
      </c>
    </row>
    <row r="165" spans="1:6" ht="14.25" customHeight="1">
      <c r="A165" s="3">
        <v>164</v>
      </c>
      <c r="B165" s="3" t="s">
        <v>177</v>
      </c>
      <c r="C165" s="3" t="s">
        <v>25</v>
      </c>
      <c r="D165" s="3">
        <v>2019</v>
      </c>
      <c r="E165" s="4">
        <v>228.41</v>
      </c>
      <c r="F165" s="4">
        <v>768.67</v>
      </c>
    </row>
    <row r="166" spans="1:6" ht="14.25" customHeight="1">
      <c r="A166" s="3">
        <v>165</v>
      </c>
      <c r="B166" s="3" t="s">
        <v>178</v>
      </c>
      <c r="C166" s="3" t="s">
        <v>31</v>
      </c>
      <c r="D166" s="3">
        <v>2022</v>
      </c>
      <c r="E166" s="4">
        <v>130.79</v>
      </c>
      <c r="F166" s="4">
        <v>382.06</v>
      </c>
    </row>
    <row r="167" spans="1:6" ht="14.25" customHeight="1">
      <c r="A167" s="3">
        <v>166</v>
      </c>
      <c r="B167" s="3" t="s">
        <v>179</v>
      </c>
      <c r="C167" s="3" t="s">
        <v>20</v>
      </c>
      <c r="D167" s="3">
        <v>2023</v>
      </c>
      <c r="E167" s="4">
        <v>200.85</v>
      </c>
      <c r="F167" s="4">
        <v>616.87</v>
      </c>
    </row>
    <row r="168" spans="1:6" ht="14.25" customHeight="1">
      <c r="A168" s="3">
        <v>167</v>
      </c>
      <c r="B168" s="3" t="s">
        <v>180</v>
      </c>
      <c r="C168" s="3" t="s">
        <v>16</v>
      </c>
      <c r="D168" s="3">
        <v>2023</v>
      </c>
      <c r="E168" s="4">
        <v>244.02</v>
      </c>
      <c r="F168" s="4">
        <v>340.4</v>
      </c>
    </row>
    <row r="169" spans="1:6" ht="14.25" customHeight="1">
      <c r="A169" s="3">
        <v>168</v>
      </c>
      <c r="B169" s="3" t="s">
        <v>181</v>
      </c>
      <c r="C169" s="3" t="s">
        <v>20</v>
      </c>
      <c r="D169" s="3">
        <v>2024</v>
      </c>
      <c r="E169" s="4">
        <v>200.39</v>
      </c>
      <c r="F169" s="4">
        <v>231.19</v>
      </c>
    </row>
    <row r="170" spans="1:6" ht="14.25" customHeight="1">
      <c r="A170" s="3">
        <v>169</v>
      </c>
      <c r="B170" s="3" t="s">
        <v>182</v>
      </c>
      <c r="C170" s="3" t="s">
        <v>9</v>
      </c>
      <c r="D170" s="3">
        <v>2018</v>
      </c>
      <c r="E170" s="4">
        <v>171.2</v>
      </c>
      <c r="F170" s="4">
        <v>426.42</v>
      </c>
    </row>
    <row r="171" spans="1:6" ht="14.25" customHeight="1">
      <c r="A171" s="3">
        <v>170</v>
      </c>
      <c r="B171" s="3" t="s">
        <v>183</v>
      </c>
      <c r="C171" s="3" t="s">
        <v>13</v>
      </c>
      <c r="D171" s="3">
        <v>2018</v>
      </c>
      <c r="E171" s="4">
        <v>99.72</v>
      </c>
      <c r="F171" s="4">
        <v>581.98</v>
      </c>
    </row>
    <row r="172" spans="1:6" ht="14.25" customHeight="1">
      <c r="A172" s="3">
        <v>171</v>
      </c>
      <c r="B172" s="3" t="s">
        <v>184</v>
      </c>
      <c r="C172" s="3" t="s">
        <v>20</v>
      </c>
      <c r="D172" s="3">
        <v>2020</v>
      </c>
      <c r="E172" s="4">
        <v>69.3</v>
      </c>
      <c r="F172" s="4">
        <v>280.89999999999998</v>
      </c>
    </row>
    <row r="173" spans="1:6" ht="14.25" customHeight="1">
      <c r="A173" s="3">
        <v>172</v>
      </c>
      <c r="B173" s="3" t="s">
        <v>185</v>
      </c>
      <c r="C173" s="3" t="s">
        <v>31</v>
      </c>
      <c r="D173" s="3">
        <v>2021</v>
      </c>
      <c r="E173" s="4">
        <v>58.64</v>
      </c>
      <c r="F173" s="4">
        <v>669.58</v>
      </c>
    </row>
    <row r="174" spans="1:6" ht="14.25" customHeight="1">
      <c r="A174" s="3">
        <v>173</v>
      </c>
      <c r="B174" s="3" t="s">
        <v>186</v>
      </c>
      <c r="C174" s="3" t="s">
        <v>25</v>
      </c>
      <c r="D174" s="3">
        <v>2018</v>
      </c>
      <c r="E174" s="4">
        <v>224.56</v>
      </c>
      <c r="F174" s="4">
        <v>402.8</v>
      </c>
    </row>
    <row r="175" spans="1:6" ht="14.25" customHeight="1">
      <c r="A175" s="3">
        <v>174</v>
      </c>
      <c r="B175" s="3" t="s">
        <v>187</v>
      </c>
      <c r="C175" s="3" t="s">
        <v>16</v>
      </c>
      <c r="D175" s="3">
        <v>2020</v>
      </c>
      <c r="E175" s="4">
        <v>229.08</v>
      </c>
      <c r="F175" s="4">
        <v>462.99</v>
      </c>
    </row>
    <row r="176" spans="1:6" ht="14.25" customHeight="1">
      <c r="A176" s="3">
        <v>175</v>
      </c>
      <c r="B176" s="3" t="s">
        <v>188</v>
      </c>
      <c r="C176" s="3" t="s">
        <v>20</v>
      </c>
      <c r="D176" s="3">
        <v>2023</v>
      </c>
      <c r="E176" s="4">
        <v>246.04</v>
      </c>
      <c r="F176" s="4">
        <v>345.31</v>
      </c>
    </row>
    <row r="177" spans="1:6" ht="14.25" customHeight="1">
      <c r="A177" s="3">
        <v>176</v>
      </c>
      <c r="B177" s="3" t="s">
        <v>189</v>
      </c>
      <c r="C177" s="3" t="s">
        <v>20</v>
      </c>
      <c r="D177" s="3">
        <v>2024</v>
      </c>
      <c r="E177" s="4">
        <v>139.33000000000001</v>
      </c>
      <c r="F177" s="4">
        <v>394.19</v>
      </c>
    </row>
    <row r="178" spans="1:6" ht="14.25" customHeight="1">
      <c r="A178" s="3">
        <v>177</v>
      </c>
      <c r="B178" s="3" t="s">
        <v>190</v>
      </c>
      <c r="C178" s="3" t="s">
        <v>16</v>
      </c>
      <c r="D178" s="3">
        <v>2022</v>
      </c>
      <c r="E178" s="4">
        <v>221.9</v>
      </c>
      <c r="F178" s="4">
        <v>238.31</v>
      </c>
    </row>
    <row r="179" spans="1:6" ht="14.25" customHeight="1">
      <c r="A179" s="3">
        <v>178</v>
      </c>
      <c r="B179" s="3" t="s">
        <v>191</v>
      </c>
      <c r="C179" s="3" t="s">
        <v>9</v>
      </c>
      <c r="D179" s="3">
        <v>2021</v>
      </c>
      <c r="E179" s="4">
        <v>172.45</v>
      </c>
      <c r="F179" s="4">
        <v>442.73</v>
      </c>
    </row>
    <row r="180" spans="1:6" ht="14.25" customHeight="1">
      <c r="A180" s="3">
        <v>179</v>
      </c>
      <c r="B180" s="3" t="s">
        <v>192</v>
      </c>
      <c r="C180" s="3" t="s">
        <v>28</v>
      </c>
      <c r="D180" s="3">
        <v>2018</v>
      </c>
      <c r="E180" s="4">
        <v>239.49</v>
      </c>
      <c r="F180" s="4">
        <v>272.07</v>
      </c>
    </row>
    <row r="181" spans="1:6" ht="14.25" customHeight="1">
      <c r="A181" s="3">
        <v>180</v>
      </c>
      <c r="B181" s="3" t="s">
        <v>193</v>
      </c>
      <c r="C181" s="3" t="s">
        <v>13</v>
      </c>
      <c r="D181" s="3">
        <v>2018</v>
      </c>
      <c r="E181" s="4">
        <v>190.11</v>
      </c>
      <c r="F181" s="4">
        <v>292.83</v>
      </c>
    </row>
    <row r="182" spans="1:6" ht="14.25" customHeight="1">
      <c r="A182" s="3">
        <v>181</v>
      </c>
      <c r="B182" s="3" t="s">
        <v>194</v>
      </c>
      <c r="C182" s="3" t="s">
        <v>31</v>
      </c>
      <c r="D182" s="3">
        <v>2022</v>
      </c>
      <c r="E182" s="4">
        <v>114.23</v>
      </c>
      <c r="F182" s="4">
        <v>310.66000000000003</v>
      </c>
    </row>
    <row r="183" spans="1:6" ht="14.25" customHeight="1">
      <c r="A183" s="3">
        <v>182</v>
      </c>
      <c r="B183" s="3" t="s">
        <v>195</v>
      </c>
      <c r="C183" s="3" t="s">
        <v>20</v>
      </c>
      <c r="D183" s="3">
        <v>2023</v>
      </c>
      <c r="E183" s="4">
        <v>168.9</v>
      </c>
      <c r="F183" s="4">
        <v>544.63</v>
      </c>
    </row>
    <row r="184" spans="1:6" ht="14.25" customHeight="1">
      <c r="A184" s="3">
        <v>183</v>
      </c>
      <c r="B184" s="3" t="s">
        <v>196</v>
      </c>
      <c r="C184" s="3" t="s">
        <v>20</v>
      </c>
      <c r="D184" s="3">
        <v>2022</v>
      </c>
      <c r="E184" s="4">
        <v>108.25</v>
      </c>
      <c r="F184" s="4">
        <v>260.42</v>
      </c>
    </row>
    <row r="185" spans="1:6" ht="14.25" customHeight="1">
      <c r="A185" s="3">
        <v>184</v>
      </c>
      <c r="B185" s="3" t="s">
        <v>197</v>
      </c>
      <c r="C185" s="3" t="s">
        <v>31</v>
      </c>
      <c r="D185" s="3">
        <v>2022</v>
      </c>
      <c r="E185" s="4">
        <v>57.8</v>
      </c>
      <c r="F185" s="4">
        <v>318.04000000000002</v>
      </c>
    </row>
    <row r="186" spans="1:6" ht="14.25" customHeight="1">
      <c r="A186" s="3">
        <v>185</v>
      </c>
      <c r="B186" s="3" t="s">
        <v>198</v>
      </c>
      <c r="C186" s="3" t="s">
        <v>7</v>
      </c>
      <c r="D186" s="3">
        <v>2022</v>
      </c>
      <c r="E186" s="4">
        <v>113.05</v>
      </c>
      <c r="F186" s="4">
        <v>566.72</v>
      </c>
    </row>
    <row r="187" spans="1:6" ht="14.25" customHeight="1">
      <c r="A187" s="3">
        <v>186</v>
      </c>
      <c r="B187" s="3" t="s">
        <v>199</v>
      </c>
      <c r="C187" s="3" t="s">
        <v>9</v>
      </c>
      <c r="D187" s="3">
        <v>2020</v>
      </c>
      <c r="E187" s="4">
        <v>199.4</v>
      </c>
      <c r="F187" s="4">
        <v>79.55</v>
      </c>
    </row>
    <row r="188" spans="1:6" ht="14.25" customHeight="1">
      <c r="A188" s="3">
        <v>187</v>
      </c>
      <c r="B188" s="3" t="s">
        <v>200</v>
      </c>
      <c r="C188" s="3" t="s">
        <v>28</v>
      </c>
      <c r="D188" s="3">
        <v>2018</v>
      </c>
      <c r="E188" s="4">
        <v>63.14</v>
      </c>
      <c r="F188" s="4">
        <v>632.37</v>
      </c>
    </row>
    <row r="189" spans="1:6" ht="14.25" customHeight="1">
      <c r="A189" s="3">
        <v>188</v>
      </c>
      <c r="B189" s="3" t="s">
        <v>201</v>
      </c>
      <c r="C189" s="3" t="s">
        <v>20</v>
      </c>
      <c r="D189" s="3">
        <v>2018</v>
      </c>
      <c r="E189" s="4">
        <v>166.1</v>
      </c>
      <c r="F189" s="4">
        <v>273.82</v>
      </c>
    </row>
    <row r="190" spans="1:6" ht="14.25" customHeight="1">
      <c r="A190" s="3">
        <v>189</v>
      </c>
      <c r="B190" s="3" t="s">
        <v>202</v>
      </c>
      <c r="C190" s="3" t="s">
        <v>9</v>
      </c>
      <c r="D190" s="3">
        <v>2023</v>
      </c>
      <c r="E190" s="4">
        <v>192.9</v>
      </c>
      <c r="F190" s="4">
        <v>191.81</v>
      </c>
    </row>
    <row r="191" spans="1:6" ht="14.25" customHeight="1">
      <c r="A191" s="3">
        <v>190</v>
      </c>
      <c r="B191" s="3" t="s">
        <v>203</v>
      </c>
      <c r="C191" s="3" t="s">
        <v>20</v>
      </c>
      <c r="D191" s="3">
        <v>2023</v>
      </c>
      <c r="E191" s="4">
        <v>107.07</v>
      </c>
      <c r="F191" s="4">
        <v>315.52999999999997</v>
      </c>
    </row>
    <row r="192" spans="1:6" ht="14.25" customHeight="1">
      <c r="A192" s="3">
        <v>191</v>
      </c>
      <c r="B192" s="3" t="s">
        <v>204</v>
      </c>
      <c r="C192" s="3" t="s">
        <v>13</v>
      </c>
      <c r="D192" s="3">
        <v>2018</v>
      </c>
      <c r="E192" s="4">
        <v>221.65</v>
      </c>
      <c r="F192" s="4">
        <v>206.25</v>
      </c>
    </row>
    <row r="193" spans="1:6" ht="14.25" customHeight="1">
      <c r="A193" s="3">
        <v>192</v>
      </c>
      <c r="B193" s="3" t="s">
        <v>205</v>
      </c>
      <c r="C193" s="3" t="s">
        <v>16</v>
      </c>
      <c r="D193" s="3">
        <v>2021</v>
      </c>
      <c r="E193" s="4">
        <v>202.19</v>
      </c>
      <c r="F193" s="4">
        <v>280.36</v>
      </c>
    </row>
    <row r="194" spans="1:6" ht="14.25" customHeight="1">
      <c r="A194" s="3">
        <v>193</v>
      </c>
      <c r="B194" s="3" t="s">
        <v>206</v>
      </c>
      <c r="C194" s="3" t="s">
        <v>13</v>
      </c>
      <c r="D194" s="3">
        <v>2021</v>
      </c>
      <c r="E194" s="4">
        <v>226.72</v>
      </c>
      <c r="F194" s="4">
        <v>270.75</v>
      </c>
    </row>
    <row r="195" spans="1:6" ht="14.25" customHeight="1">
      <c r="A195" s="3">
        <v>194</v>
      </c>
      <c r="B195" s="3" t="s">
        <v>207</v>
      </c>
      <c r="C195" s="3" t="s">
        <v>25</v>
      </c>
      <c r="D195" s="3">
        <v>2024</v>
      </c>
      <c r="E195" s="4">
        <v>237.91</v>
      </c>
      <c r="F195" s="4">
        <v>165.71</v>
      </c>
    </row>
    <row r="196" spans="1:6" ht="14.25" customHeight="1">
      <c r="A196" s="3">
        <v>195</v>
      </c>
      <c r="B196" s="3" t="s">
        <v>208</v>
      </c>
      <c r="C196" s="3" t="s">
        <v>16</v>
      </c>
      <c r="D196" s="3">
        <v>2018</v>
      </c>
      <c r="E196" s="4">
        <v>232.21</v>
      </c>
      <c r="F196" s="4">
        <v>127.62</v>
      </c>
    </row>
    <row r="197" spans="1:6" ht="14.25" customHeight="1">
      <c r="A197" s="3">
        <v>196</v>
      </c>
      <c r="B197" s="3" t="s">
        <v>209</v>
      </c>
      <c r="C197" s="3" t="s">
        <v>7</v>
      </c>
      <c r="D197" s="3">
        <v>2023</v>
      </c>
      <c r="E197" s="4">
        <v>134.07</v>
      </c>
      <c r="F197" s="4">
        <v>126.35</v>
      </c>
    </row>
    <row r="198" spans="1:6" ht="14.25" customHeight="1">
      <c r="A198" s="3">
        <v>197</v>
      </c>
      <c r="B198" s="3" t="s">
        <v>210</v>
      </c>
      <c r="C198" s="3" t="s">
        <v>7</v>
      </c>
      <c r="D198" s="3">
        <v>2018</v>
      </c>
      <c r="E198" s="4">
        <v>92.45</v>
      </c>
      <c r="F198" s="4">
        <v>234.77</v>
      </c>
    </row>
    <row r="199" spans="1:6" ht="14.25" customHeight="1">
      <c r="A199" s="3">
        <v>198</v>
      </c>
      <c r="B199" s="3" t="s">
        <v>211</v>
      </c>
      <c r="C199" s="3" t="s">
        <v>25</v>
      </c>
      <c r="D199" s="3">
        <v>2024</v>
      </c>
      <c r="E199" s="4">
        <v>173.23</v>
      </c>
      <c r="F199" s="4">
        <v>228.66</v>
      </c>
    </row>
    <row r="200" spans="1:6" ht="14.25" customHeight="1">
      <c r="A200" s="3">
        <v>199</v>
      </c>
      <c r="B200" s="3" t="s">
        <v>212</v>
      </c>
      <c r="C200" s="3" t="s">
        <v>13</v>
      </c>
      <c r="D200" s="3">
        <v>2018</v>
      </c>
      <c r="E200" s="4">
        <v>226.08</v>
      </c>
      <c r="F200" s="4">
        <v>236.55</v>
      </c>
    </row>
    <row r="201" spans="1:6" ht="14.25" customHeight="1">
      <c r="A201" s="3">
        <v>200</v>
      </c>
      <c r="B201" s="3" t="s">
        <v>213</v>
      </c>
      <c r="C201" s="3" t="s">
        <v>7</v>
      </c>
      <c r="D201" s="3">
        <v>2018</v>
      </c>
      <c r="E201" s="4">
        <v>109.54</v>
      </c>
      <c r="F201" s="4">
        <v>210.22</v>
      </c>
    </row>
    <row r="202" spans="1:6" ht="14.25" customHeight="1">
      <c r="A202" s="3">
        <v>201</v>
      </c>
      <c r="B202" s="3" t="s">
        <v>214</v>
      </c>
      <c r="C202" s="3" t="s">
        <v>9</v>
      </c>
      <c r="D202" s="3">
        <v>2022</v>
      </c>
      <c r="E202" s="4">
        <v>128.34</v>
      </c>
      <c r="F202" s="4">
        <v>296.81</v>
      </c>
    </row>
    <row r="203" spans="1:6" ht="14.25" customHeight="1">
      <c r="A203" s="3">
        <v>202</v>
      </c>
      <c r="B203" s="3" t="s">
        <v>215</v>
      </c>
      <c r="C203" s="3" t="s">
        <v>20</v>
      </c>
      <c r="D203" s="3">
        <v>2022</v>
      </c>
      <c r="E203" s="4">
        <v>210.66</v>
      </c>
      <c r="F203" s="4">
        <v>297.48</v>
      </c>
    </row>
    <row r="204" spans="1:6" ht="14.25" customHeight="1">
      <c r="A204" s="3">
        <v>203</v>
      </c>
      <c r="B204" s="3" t="s">
        <v>216</v>
      </c>
      <c r="C204" s="3" t="s">
        <v>28</v>
      </c>
      <c r="D204" s="3">
        <v>2024</v>
      </c>
      <c r="E204" s="4">
        <v>118.02</v>
      </c>
      <c r="F204" s="4">
        <v>290.39</v>
      </c>
    </row>
    <row r="205" spans="1:6" ht="14.25" customHeight="1">
      <c r="A205" s="3">
        <v>204</v>
      </c>
      <c r="B205" s="3" t="s">
        <v>217</v>
      </c>
      <c r="C205" s="3" t="s">
        <v>20</v>
      </c>
      <c r="D205" s="3">
        <v>2019</v>
      </c>
      <c r="E205" s="4">
        <v>106.85</v>
      </c>
      <c r="F205" s="4">
        <v>799.88</v>
      </c>
    </row>
    <row r="206" spans="1:6" ht="14.25" customHeight="1">
      <c r="A206" s="3">
        <v>205</v>
      </c>
      <c r="B206" s="3" t="s">
        <v>218</v>
      </c>
      <c r="C206" s="3" t="s">
        <v>13</v>
      </c>
      <c r="D206" s="3">
        <v>2020</v>
      </c>
      <c r="E206" s="4">
        <v>202.08</v>
      </c>
      <c r="F206" s="4">
        <v>388.72</v>
      </c>
    </row>
    <row r="207" spans="1:6" ht="14.25" customHeight="1">
      <c r="A207" s="3">
        <v>206</v>
      </c>
      <c r="B207" s="3" t="s">
        <v>219</v>
      </c>
      <c r="C207" s="3" t="s">
        <v>13</v>
      </c>
      <c r="D207" s="3">
        <v>2019</v>
      </c>
      <c r="E207" s="4">
        <v>90.42</v>
      </c>
      <c r="F207" s="4">
        <v>268.14999999999998</v>
      </c>
    </row>
    <row r="208" spans="1:6" ht="14.25" customHeight="1">
      <c r="A208" s="3">
        <v>207</v>
      </c>
      <c r="B208" s="3" t="s">
        <v>220</v>
      </c>
      <c r="C208" s="3" t="s">
        <v>13</v>
      </c>
      <c r="D208" s="3">
        <v>2022</v>
      </c>
      <c r="E208" s="4">
        <v>100.36</v>
      </c>
      <c r="F208" s="4">
        <v>296.94</v>
      </c>
    </row>
    <row r="209" spans="1:6" ht="14.25" customHeight="1">
      <c r="A209" s="3">
        <v>208</v>
      </c>
      <c r="B209" s="3" t="s">
        <v>221</v>
      </c>
      <c r="C209" s="3" t="s">
        <v>7</v>
      </c>
      <c r="D209" s="3">
        <v>2022</v>
      </c>
      <c r="E209" s="4">
        <v>185.73</v>
      </c>
      <c r="F209" s="4">
        <v>158.02000000000001</v>
      </c>
    </row>
    <row r="210" spans="1:6" ht="14.25" customHeight="1">
      <c r="A210" s="3">
        <v>209</v>
      </c>
      <c r="B210" s="3" t="s">
        <v>222</v>
      </c>
      <c r="C210" s="3" t="s">
        <v>20</v>
      </c>
      <c r="D210" s="3">
        <v>2022</v>
      </c>
      <c r="E210" s="4">
        <v>78.23</v>
      </c>
      <c r="F210" s="4">
        <v>531.83000000000004</v>
      </c>
    </row>
    <row r="211" spans="1:6" ht="14.25" customHeight="1">
      <c r="A211" s="3">
        <v>210</v>
      </c>
      <c r="B211" s="3" t="s">
        <v>223</v>
      </c>
      <c r="C211" s="3" t="s">
        <v>16</v>
      </c>
      <c r="D211" s="3">
        <v>2024</v>
      </c>
      <c r="E211" s="4">
        <v>230.72</v>
      </c>
      <c r="F211" s="4">
        <v>512.58000000000004</v>
      </c>
    </row>
    <row r="212" spans="1:6" ht="14.25" customHeight="1">
      <c r="E212" s="4"/>
      <c r="F212" s="4"/>
    </row>
    <row r="213" spans="1:6" ht="14.25" customHeight="1">
      <c r="E213" s="4"/>
      <c r="F213" s="4"/>
    </row>
    <row r="214" spans="1:6" ht="14.25" customHeight="1">
      <c r="E214" s="4"/>
      <c r="F214" s="4"/>
    </row>
    <row r="215" spans="1:6" ht="14.25" customHeight="1">
      <c r="E215" s="4"/>
      <c r="F215" s="4"/>
    </row>
    <row r="216" spans="1:6" ht="14.25" customHeight="1">
      <c r="E216" s="4"/>
      <c r="F216" s="4"/>
    </row>
    <row r="217" spans="1:6" ht="14.25" customHeight="1">
      <c r="E217" s="4"/>
      <c r="F217" s="4"/>
    </row>
    <row r="218" spans="1:6" ht="14.25" customHeight="1">
      <c r="E218" s="4"/>
      <c r="F218" s="4"/>
    </row>
    <row r="219" spans="1:6" ht="14.25" customHeight="1">
      <c r="E219" s="4"/>
      <c r="F219" s="4"/>
    </row>
    <row r="220" spans="1:6" ht="14.25" customHeight="1">
      <c r="E220" s="4"/>
      <c r="F220" s="4"/>
    </row>
    <row r="221" spans="1:6" ht="14.25" customHeight="1">
      <c r="E221" s="4"/>
      <c r="F221" s="4"/>
    </row>
    <row r="222" spans="1:6" ht="14.25" customHeight="1">
      <c r="E222" s="4"/>
      <c r="F222" s="4"/>
    </row>
    <row r="223" spans="1:6" ht="14.25" customHeight="1">
      <c r="E223" s="4"/>
      <c r="F223" s="4"/>
    </row>
    <row r="224" spans="1:6" ht="14.25" customHeight="1">
      <c r="E224" s="4"/>
      <c r="F224" s="4"/>
    </row>
    <row r="225" spans="5:6" ht="14.25" customHeight="1">
      <c r="E225" s="4"/>
      <c r="F225" s="4"/>
    </row>
    <row r="226" spans="5:6" ht="14.25" customHeight="1">
      <c r="E226" s="4"/>
      <c r="F226" s="4"/>
    </row>
    <row r="227" spans="5:6" ht="14.25" customHeight="1">
      <c r="E227" s="4"/>
      <c r="F227" s="4"/>
    </row>
    <row r="228" spans="5:6" ht="14.25" customHeight="1">
      <c r="E228" s="4"/>
      <c r="F228" s="4"/>
    </row>
    <row r="229" spans="5:6" ht="14.25" customHeight="1">
      <c r="E229" s="4"/>
      <c r="F229" s="4"/>
    </row>
    <row r="230" spans="5:6" ht="14.25" customHeight="1">
      <c r="E230" s="4"/>
      <c r="F230" s="4"/>
    </row>
    <row r="231" spans="5:6" ht="14.25" customHeight="1">
      <c r="E231" s="4"/>
      <c r="F231" s="4"/>
    </row>
    <row r="232" spans="5:6" ht="14.25" customHeight="1">
      <c r="E232" s="4"/>
      <c r="F232" s="4"/>
    </row>
    <row r="233" spans="5:6" ht="14.25" customHeight="1">
      <c r="E233" s="4"/>
      <c r="F233" s="4"/>
    </row>
    <row r="234" spans="5:6" ht="14.25" customHeight="1">
      <c r="E234" s="4"/>
      <c r="F234" s="4"/>
    </row>
    <row r="235" spans="5:6" ht="14.25" customHeight="1">
      <c r="E235" s="4"/>
      <c r="F235" s="4"/>
    </row>
    <row r="236" spans="5:6" ht="14.25" customHeight="1">
      <c r="E236" s="4"/>
      <c r="F236" s="4"/>
    </row>
    <row r="237" spans="5:6" ht="14.25" customHeight="1">
      <c r="E237" s="4"/>
      <c r="F237" s="4"/>
    </row>
    <row r="238" spans="5:6" ht="14.25" customHeight="1">
      <c r="E238" s="4"/>
      <c r="F238" s="4"/>
    </row>
    <row r="239" spans="5:6" ht="14.25" customHeight="1">
      <c r="E239" s="4"/>
      <c r="F239" s="4"/>
    </row>
    <row r="240" spans="5:6" ht="14.25" customHeight="1">
      <c r="E240" s="4"/>
      <c r="F240" s="4"/>
    </row>
    <row r="241" spans="5:6" ht="14.25" customHeight="1">
      <c r="E241" s="4"/>
      <c r="F241" s="4"/>
    </row>
    <row r="242" spans="5:6" ht="14.25" customHeight="1">
      <c r="E242" s="4"/>
      <c r="F242" s="4"/>
    </row>
    <row r="243" spans="5:6" ht="14.25" customHeight="1">
      <c r="E243" s="4"/>
      <c r="F243" s="4"/>
    </row>
    <row r="244" spans="5:6" ht="14.25" customHeight="1">
      <c r="E244" s="4"/>
      <c r="F244" s="4"/>
    </row>
    <row r="245" spans="5:6" ht="14.25" customHeight="1">
      <c r="E245" s="4"/>
      <c r="F245" s="4"/>
    </row>
    <row r="246" spans="5:6" ht="14.25" customHeight="1">
      <c r="E246" s="4"/>
      <c r="F246" s="4"/>
    </row>
    <row r="247" spans="5:6" ht="14.25" customHeight="1">
      <c r="E247" s="4"/>
      <c r="F247" s="4"/>
    </row>
    <row r="248" spans="5:6" ht="14.25" customHeight="1">
      <c r="E248" s="4"/>
      <c r="F248" s="4"/>
    </row>
    <row r="249" spans="5:6" ht="14.25" customHeight="1">
      <c r="E249" s="4"/>
      <c r="F249" s="4"/>
    </row>
    <row r="250" spans="5:6" ht="14.25" customHeight="1">
      <c r="E250" s="4"/>
      <c r="F250" s="4"/>
    </row>
    <row r="251" spans="5:6" ht="14.25" customHeight="1">
      <c r="E251" s="4"/>
      <c r="F251" s="4"/>
    </row>
    <row r="252" spans="5:6" ht="14.25" customHeight="1">
      <c r="E252" s="4"/>
      <c r="F252" s="4"/>
    </row>
    <row r="253" spans="5:6" ht="14.25" customHeight="1">
      <c r="E253" s="4"/>
      <c r="F253" s="4"/>
    </row>
    <row r="254" spans="5:6" ht="14.25" customHeight="1">
      <c r="E254" s="4"/>
      <c r="F254" s="4"/>
    </row>
    <row r="255" spans="5:6" ht="14.25" customHeight="1">
      <c r="E255" s="4"/>
      <c r="F255" s="4"/>
    </row>
    <row r="256" spans="5:6" ht="14.25" customHeight="1">
      <c r="E256" s="4"/>
      <c r="F256" s="4"/>
    </row>
    <row r="257" spans="5:6" ht="14.25" customHeight="1">
      <c r="E257" s="4"/>
      <c r="F257" s="4"/>
    </row>
    <row r="258" spans="5:6" ht="14.25" customHeight="1">
      <c r="E258" s="4"/>
      <c r="F258" s="4"/>
    </row>
    <row r="259" spans="5:6" ht="14.25" customHeight="1">
      <c r="E259" s="4"/>
      <c r="F259" s="4"/>
    </row>
    <row r="260" spans="5:6" ht="14.25" customHeight="1">
      <c r="E260" s="4"/>
      <c r="F260" s="4"/>
    </row>
    <row r="261" spans="5:6" ht="14.25" customHeight="1">
      <c r="E261" s="4"/>
      <c r="F261" s="4"/>
    </row>
    <row r="262" spans="5:6" ht="14.25" customHeight="1">
      <c r="E262" s="4"/>
      <c r="F262" s="4"/>
    </row>
    <row r="263" spans="5:6" ht="14.25" customHeight="1">
      <c r="E263" s="4"/>
      <c r="F263" s="4"/>
    </row>
    <row r="264" spans="5:6" ht="14.25" customHeight="1">
      <c r="E264" s="4"/>
      <c r="F264" s="4"/>
    </row>
    <row r="265" spans="5:6" ht="14.25" customHeight="1">
      <c r="E265" s="4"/>
      <c r="F265" s="4"/>
    </row>
    <row r="266" spans="5:6" ht="14.25" customHeight="1">
      <c r="E266" s="4"/>
      <c r="F266" s="4"/>
    </row>
    <row r="267" spans="5:6" ht="14.25" customHeight="1">
      <c r="E267" s="4"/>
      <c r="F267" s="4"/>
    </row>
    <row r="268" spans="5:6" ht="14.25" customHeight="1">
      <c r="E268" s="4"/>
      <c r="F268" s="4"/>
    </row>
    <row r="269" spans="5:6" ht="14.25" customHeight="1">
      <c r="E269" s="4"/>
      <c r="F269" s="4"/>
    </row>
    <row r="270" spans="5:6" ht="14.25" customHeight="1">
      <c r="E270" s="4"/>
      <c r="F270" s="4"/>
    </row>
    <row r="271" spans="5:6" ht="14.25" customHeight="1">
      <c r="E271" s="4"/>
      <c r="F271" s="4"/>
    </row>
    <row r="272" spans="5:6" ht="14.25" customHeight="1">
      <c r="E272" s="4"/>
      <c r="F272" s="4"/>
    </row>
    <row r="273" spans="5:6" ht="14.25" customHeight="1">
      <c r="E273" s="4"/>
      <c r="F273" s="4"/>
    </row>
    <row r="274" spans="5:6" ht="14.25" customHeight="1">
      <c r="E274" s="4"/>
      <c r="F274" s="4"/>
    </row>
    <row r="275" spans="5:6" ht="14.25" customHeight="1">
      <c r="E275" s="4"/>
      <c r="F275" s="4"/>
    </row>
    <row r="276" spans="5:6" ht="14.25" customHeight="1">
      <c r="E276" s="4"/>
      <c r="F276" s="4"/>
    </row>
    <row r="277" spans="5:6" ht="14.25" customHeight="1">
      <c r="E277" s="4"/>
      <c r="F277" s="4"/>
    </row>
    <row r="278" spans="5:6" ht="14.25" customHeight="1">
      <c r="E278" s="4"/>
      <c r="F278" s="4"/>
    </row>
    <row r="279" spans="5:6" ht="14.25" customHeight="1">
      <c r="E279" s="4"/>
      <c r="F279" s="4"/>
    </row>
    <row r="280" spans="5:6" ht="14.25" customHeight="1">
      <c r="E280" s="4"/>
      <c r="F280" s="4"/>
    </row>
    <row r="281" spans="5:6" ht="14.25" customHeight="1">
      <c r="E281" s="4"/>
      <c r="F281" s="4"/>
    </row>
    <row r="282" spans="5:6" ht="14.25" customHeight="1">
      <c r="E282" s="4"/>
      <c r="F282" s="4"/>
    </row>
    <row r="283" spans="5:6" ht="14.25" customHeight="1">
      <c r="E283" s="4"/>
      <c r="F283" s="4"/>
    </row>
    <row r="284" spans="5:6" ht="14.25" customHeight="1">
      <c r="E284" s="4"/>
      <c r="F284" s="4"/>
    </row>
    <row r="285" spans="5:6" ht="14.25" customHeight="1">
      <c r="E285" s="4"/>
      <c r="F285" s="4"/>
    </row>
    <row r="286" spans="5:6" ht="14.25" customHeight="1">
      <c r="E286" s="4"/>
      <c r="F286" s="4"/>
    </row>
    <row r="287" spans="5:6" ht="14.25" customHeight="1">
      <c r="E287" s="4"/>
      <c r="F287" s="4"/>
    </row>
    <row r="288" spans="5:6" ht="14.25" customHeight="1">
      <c r="E288" s="4"/>
      <c r="F288" s="4"/>
    </row>
    <row r="289" spans="5:6" ht="14.25" customHeight="1">
      <c r="E289" s="4"/>
      <c r="F289" s="4"/>
    </row>
    <row r="290" spans="5:6" ht="14.25" customHeight="1">
      <c r="E290" s="4"/>
      <c r="F290" s="4"/>
    </row>
    <row r="291" spans="5:6" ht="14.25" customHeight="1">
      <c r="E291" s="4"/>
      <c r="F291" s="4"/>
    </row>
    <row r="292" spans="5:6" ht="14.25" customHeight="1">
      <c r="E292" s="4"/>
      <c r="F292" s="4"/>
    </row>
    <row r="293" spans="5:6" ht="14.25" customHeight="1">
      <c r="E293" s="4"/>
      <c r="F293" s="4"/>
    </row>
    <row r="294" spans="5:6" ht="14.25" customHeight="1">
      <c r="E294" s="4"/>
      <c r="F294" s="4"/>
    </row>
    <row r="295" spans="5:6" ht="14.25" customHeight="1">
      <c r="E295" s="4"/>
      <c r="F295" s="4"/>
    </row>
    <row r="296" spans="5:6" ht="14.25" customHeight="1">
      <c r="E296" s="4"/>
      <c r="F296" s="4"/>
    </row>
    <row r="297" spans="5:6" ht="14.25" customHeight="1">
      <c r="E297" s="4"/>
      <c r="F297" s="4"/>
    </row>
    <row r="298" spans="5:6" ht="14.25" customHeight="1">
      <c r="E298" s="4"/>
      <c r="F298" s="4"/>
    </row>
    <row r="299" spans="5:6" ht="14.25" customHeight="1">
      <c r="E299" s="4"/>
      <c r="F299" s="4"/>
    </row>
    <row r="300" spans="5:6" ht="14.25" customHeight="1">
      <c r="E300" s="4"/>
      <c r="F300" s="4"/>
    </row>
    <row r="301" spans="5:6" ht="14.25" customHeight="1">
      <c r="E301" s="4"/>
      <c r="F301" s="4"/>
    </row>
    <row r="302" spans="5:6" ht="14.25" customHeight="1">
      <c r="E302" s="4"/>
      <c r="F302" s="4"/>
    </row>
    <row r="303" spans="5:6" ht="14.25" customHeight="1">
      <c r="E303" s="4"/>
      <c r="F303" s="4"/>
    </row>
    <row r="304" spans="5:6" ht="14.25" customHeight="1">
      <c r="E304" s="4"/>
      <c r="F304" s="4"/>
    </row>
    <row r="305" spans="5:6" ht="14.25" customHeight="1">
      <c r="E305" s="4"/>
      <c r="F305" s="4"/>
    </row>
    <row r="306" spans="5:6" ht="14.25" customHeight="1">
      <c r="E306" s="4"/>
      <c r="F306" s="4"/>
    </row>
    <row r="307" spans="5:6" ht="14.25" customHeight="1">
      <c r="E307" s="4"/>
      <c r="F307" s="4"/>
    </row>
    <row r="308" spans="5:6" ht="14.25" customHeight="1">
      <c r="E308" s="4"/>
      <c r="F308" s="4"/>
    </row>
    <row r="309" spans="5:6" ht="14.25" customHeight="1">
      <c r="E309" s="4"/>
      <c r="F309" s="4"/>
    </row>
    <row r="310" spans="5:6" ht="14.25" customHeight="1">
      <c r="E310" s="4"/>
      <c r="F310" s="4"/>
    </row>
    <row r="311" spans="5:6" ht="14.25" customHeight="1">
      <c r="E311" s="4"/>
      <c r="F311" s="4"/>
    </row>
    <row r="312" spans="5:6" ht="14.25" customHeight="1">
      <c r="E312" s="4"/>
      <c r="F312" s="4"/>
    </row>
    <row r="313" spans="5:6" ht="14.25" customHeight="1">
      <c r="E313" s="4"/>
      <c r="F313" s="4"/>
    </row>
    <row r="314" spans="5:6" ht="14.25" customHeight="1">
      <c r="E314" s="4"/>
      <c r="F314" s="4"/>
    </row>
    <row r="315" spans="5:6" ht="14.25" customHeight="1">
      <c r="E315" s="4"/>
      <c r="F315" s="4"/>
    </row>
    <row r="316" spans="5:6" ht="14.25" customHeight="1">
      <c r="E316" s="4"/>
      <c r="F316" s="4"/>
    </row>
    <row r="317" spans="5:6" ht="14.25" customHeight="1">
      <c r="E317" s="4"/>
      <c r="F317" s="4"/>
    </row>
    <row r="318" spans="5:6" ht="14.25" customHeight="1">
      <c r="E318" s="4"/>
      <c r="F318" s="4"/>
    </row>
    <row r="319" spans="5:6" ht="14.25" customHeight="1">
      <c r="E319" s="4"/>
      <c r="F319" s="4"/>
    </row>
    <row r="320" spans="5:6" ht="14.25" customHeight="1">
      <c r="E320" s="4"/>
      <c r="F320" s="4"/>
    </row>
    <row r="321" spans="5:6" ht="14.25" customHeight="1">
      <c r="E321" s="4"/>
      <c r="F321" s="4"/>
    </row>
    <row r="322" spans="5:6" ht="14.25" customHeight="1">
      <c r="E322" s="4"/>
      <c r="F322" s="4"/>
    </row>
    <row r="323" spans="5:6" ht="14.25" customHeight="1">
      <c r="E323" s="4"/>
      <c r="F323" s="4"/>
    </row>
    <row r="324" spans="5:6" ht="14.25" customHeight="1">
      <c r="E324" s="4"/>
      <c r="F324" s="4"/>
    </row>
    <row r="325" spans="5:6" ht="14.25" customHeight="1">
      <c r="E325" s="4"/>
      <c r="F325" s="4"/>
    </row>
    <row r="326" spans="5:6" ht="14.25" customHeight="1">
      <c r="E326" s="4"/>
      <c r="F326" s="4"/>
    </row>
    <row r="327" spans="5:6" ht="14.25" customHeight="1">
      <c r="E327" s="4"/>
      <c r="F327" s="4"/>
    </row>
    <row r="328" spans="5:6" ht="14.25" customHeight="1">
      <c r="E328" s="4"/>
      <c r="F328" s="4"/>
    </row>
    <row r="329" spans="5:6" ht="14.25" customHeight="1">
      <c r="E329" s="4"/>
      <c r="F329" s="4"/>
    </row>
    <row r="330" spans="5:6" ht="14.25" customHeight="1">
      <c r="E330" s="4"/>
      <c r="F330" s="4"/>
    </row>
    <row r="331" spans="5:6" ht="14.25" customHeight="1">
      <c r="E331" s="4"/>
      <c r="F331" s="4"/>
    </row>
    <row r="332" spans="5:6" ht="14.25" customHeight="1">
      <c r="E332" s="4"/>
      <c r="F332" s="4"/>
    </row>
    <row r="333" spans="5:6" ht="14.25" customHeight="1">
      <c r="E333" s="4"/>
      <c r="F333" s="4"/>
    </row>
    <row r="334" spans="5:6" ht="14.25" customHeight="1">
      <c r="E334" s="4"/>
      <c r="F334" s="4"/>
    </row>
    <row r="335" spans="5:6" ht="14.25" customHeight="1">
      <c r="E335" s="4"/>
      <c r="F335" s="4"/>
    </row>
    <row r="336" spans="5:6" ht="14.25" customHeight="1">
      <c r="E336" s="4"/>
      <c r="F336" s="4"/>
    </row>
    <row r="337" spans="5:6" ht="14.25" customHeight="1">
      <c r="E337" s="4"/>
      <c r="F337" s="4"/>
    </row>
    <row r="338" spans="5:6" ht="14.25" customHeight="1">
      <c r="E338" s="4"/>
      <c r="F338" s="4"/>
    </row>
    <row r="339" spans="5:6" ht="14.25" customHeight="1">
      <c r="E339" s="4"/>
      <c r="F339" s="4"/>
    </row>
    <row r="340" spans="5:6" ht="14.25" customHeight="1">
      <c r="E340" s="4"/>
      <c r="F340" s="4"/>
    </row>
    <row r="341" spans="5:6" ht="14.25" customHeight="1">
      <c r="E341" s="4"/>
      <c r="F341" s="4"/>
    </row>
    <row r="342" spans="5:6" ht="14.25" customHeight="1">
      <c r="E342" s="4"/>
      <c r="F342" s="4"/>
    </row>
    <row r="343" spans="5:6" ht="14.25" customHeight="1">
      <c r="E343" s="4"/>
      <c r="F343" s="4"/>
    </row>
    <row r="344" spans="5:6" ht="14.25" customHeight="1">
      <c r="E344" s="4"/>
      <c r="F344" s="4"/>
    </row>
    <row r="345" spans="5:6" ht="14.25" customHeight="1">
      <c r="E345" s="4"/>
      <c r="F345" s="4"/>
    </row>
    <row r="346" spans="5:6" ht="14.25" customHeight="1">
      <c r="E346" s="4"/>
      <c r="F346" s="4"/>
    </row>
    <row r="347" spans="5:6" ht="14.25" customHeight="1">
      <c r="E347" s="4"/>
      <c r="F347" s="4"/>
    </row>
    <row r="348" spans="5:6" ht="14.25" customHeight="1">
      <c r="E348" s="4"/>
      <c r="F348" s="4"/>
    </row>
    <row r="349" spans="5:6" ht="14.25" customHeight="1">
      <c r="E349" s="4"/>
      <c r="F349" s="4"/>
    </row>
    <row r="350" spans="5:6" ht="14.25" customHeight="1">
      <c r="E350" s="4"/>
      <c r="F350" s="4"/>
    </row>
    <row r="351" spans="5:6" ht="14.25" customHeight="1">
      <c r="E351" s="4"/>
      <c r="F351" s="4"/>
    </row>
    <row r="352" spans="5:6" ht="14.25" customHeight="1">
      <c r="E352" s="4"/>
      <c r="F352" s="4"/>
    </row>
    <row r="353" spans="5:6" ht="14.25" customHeight="1">
      <c r="E353" s="4"/>
      <c r="F353" s="4"/>
    </row>
    <row r="354" spans="5:6" ht="14.25" customHeight="1">
      <c r="E354" s="4"/>
      <c r="F354" s="4"/>
    </row>
    <row r="355" spans="5:6" ht="14.25" customHeight="1">
      <c r="E355" s="4"/>
      <c r="F355" s="4"/>
    </row>
    <row r="356" spans="5:6" ht="14.25" customHeight="1">
      <c r="E356" s="4"/>
      <c r="F356" s="4"/>
    </row>
    <row r="357" spans="5:6" ht="14.25" customHeight="1">
      <c r="E357" s="4"/>
      <c r="F357" s="4"/>
    </row>
    <row r="358" spans="5:6" ht="14.25" customHeight="1">
      <c r="E358" s="4"/>
      <c r="F358" s="4"/>
    </row>
    <row r="359" spans="5:6" ht="14.25" customHeight="1">
      <c r="E359" s="4"/>
      <c r="F359" s="4"/>
    </row>
    <row r="360" spans="5:6" ht="14.25" customHeight="1">
      <c r="E360" s="4"/>
      <c r="F360" s="4"/>
    </row>
    <row r="361" spans="5:6" ht="14.25" customHeight="1">
      <c r="E361" s="4"/>
      <c r="F361" s="4"/>
    </row>
    <row r="362" spans="5:6" ht="14.25" customHeight="1">
      <c r="E362" s="4"/>
      <c r="F362" s="4"/>
    </row>
    <row r="363" spans="5:6" ht="14.25" customHeight="1">
      <c r="E363" s="4"/>
      <c r="F363" s="4"/>
    </row>
    <row r="364" spans="5:6" ht="14.25" customHeight="1">
      <c r="E364" s="4"/>
      <c r="F364" s="4"/>
    </row>
    <row r="365" spans="5:6" ht="14.25" customHeight="1">
      <c r="E365" s="4"/>
      <c r="F365" s="4"/>
    </row>
    <row r="366" spans="5:6" ht="14.25" customHeight="1">
      <c r="E366" s="4"/>
      <c r="F366" s="4"/>
    </row>
    <row r="367" spans="5:6" ht="14.25" customHeight="1">
      <c r="E367" s="4"/>
      <c r="F367" s="4"/>
    </row>
    <row r="368" spans="5:6" ht="14.25" customHeight="1">
      <c r="E368" s="4"/>
      <c r="F368" s="4"/>
    </row>
    <row r="369" spans="5:6" ht="14.25" customHeight="1">
      <c r="E369" s="4"/>
      <c r="F369" s="4"/>
    </row>
    <row r="370" spans="5:6" ht="14.25" customHeight="1">
      <c r="E370" s="4"/>
      <c r="F370" s="4"/>
    </row>
    <row r="371" spans="5:6" ht="14.25" customHeight="1">
      <c r="E371" s="4"/>
      <c r="F371" s="4"/>
    </row>
    <row r="372" spans="5:6" ht="14.25" customHeight="1">
      <c r="E372" s="4"/>
      <c r="F372" s="4"/>
    </row>
    <row r="373" spans="5:6" ht="14.25" customHeight="1">
      <c r="E373" s="4"/>
      <c r="F373" s="4"/>
    </row>
    <row r="374" spans="5:6" ht="14.25" customHeight="1">
      <c r="E374" s="4"/>
      <c r="F374" s="4"/>
    </row>
    <row r="375" spans="5:6" ht="14.25" customHeight="1">
      <c r="E375" s="4"/>
      <c r="F375" s="4"/>
    </row>
    <row r="376" spans="5:6" ht="14.25" customHeight="1">
      <c r="E376" s="4"/>
      <c r="F376" s="4"/>
    </row>
    <row r="377" spans="5:6" ht="14.25" customHeight="1">
      <c r="E377" s="4"/>
      <c r="F377" s="4"/>
    </row>
    <row r="378" spans="5:6" ht="14.25" customHeight="1">
      <c r="E378" s="4"/>
      <c r="F378" s="4"/>
    </row>
    <row r="379" spans="5:6" ht="14.25" customHeight="1">
      <c r="E379" s="4"/>
      <c r="F379" s="4"/>
    </row>
    <row r="380" spans="5:6" ht="14.25" customHeight="1">
      <c r="E380" s="4"/>
      <c r="F380" s="4"/>
    </row>
    <row r="381" spans="5:6" ht="14.25" customHeight="1">
      <c r="E381" s="4"/>
      <c r="F381" s="4"/>
    </row>
    <row r="382" spans="5:6" ht="14.25" customHeight="1">
      <c r="E382" s="4"/>
      <c r="F382" s="4"/>
    </row>
    <row r="383" spans="5:6" ht="14.25" customHeight="1">
      <c r="E383" s="4"/>
      <c r="F383" s="4"/>
    </row>
    <row r="384" spans="5:6" ht="14.25" customHeight="1">
      <c r="E384" s="4"/>
      <c r="F384" s="4"/>
    </row>
    <row r="385" spans="5:6" ht="14.25" customHeight="1">
      <c r="E385" s="4"/>
      <c r="F385" s="4"/>
    </row>
    <row r="386" spans="5:6" ht="14.25" customHeight="1">
      <c r="E386" s="4"/>
      <c r="F386" s="4"/>
    </row>
    <row r="387" spans="5:6" ht="14.25" customHeight="1">
      <c r="E387" s="4"/>
      <c r="F387" s="4"/>
    </row>
    <row r="388" spans="5:6" ht="14.25" customHeight="1">
      <c r="E388" s="4"/>
      <c r="F388" s="4"/>
    </row>
    <row r="389" spans="5:6" ht="14.25" customHeight="1">
      <c r="E389" s="4"/>
      <c r="F389" s="4"/>
    </row>
    <row r="390" spans="5:6" ht="14.25" customHeight="1">
      <c r="E390" s="4"/>
      <c r="F390" s="4"/>
    </row>
    <row r="391" spans="5:6" ht="14.25" customHeight="1">
      <c r="E391" s="4"/>
      <c r="F391" s="4"/>
    </row>
    <row r="392" spans="5:6" ht="14.25" customHeight="1">
      <c r="E392" s="4"/>
      <c r="F392" s="4"/>
    </row>
    <row r="393" spans="5:6" ht="14.25" customHeight="1">
      <c r="E393" s="4"/>
      <c r="F393" s="4"/>
    </row>
    <row r="394" spans="5:6" ht="14.25" customHeight="1">
      <c r="E394" s="4"/>
      <c r="F394" s="4"/>
    </row>
    <row r="395" spans="5:6" ht="14.25" customHeight="1">
      <c r="E395" s="4"/>
      <c r="F395" s="4"/>
    </row>
    <row r="396" spans="5:6" ht="14.25" customHeight="1">
      <c r="E396" s="4"/>
      <c r="F396" s="4"/>
    </row>
    <row r="397" spans="5:6" ht="14.25" customHeight="1">
      <c r="E397" s="4"/>
      <c r="F397" s="4"/>
    </row>
    <row r="398" spans="5:6" ht="14.25" customHeight="1">
      <c r="E398" s="4"/>
      <c r="F398" s="4"/>
    </row>
    <row r="399" spans="5:6" ht="14.25" customHeight="1">
      <c r="E399" s="4"/>
      <c r="F399" s="4"/>
    </row>
    <row r="400" spans="5:6" ht="14.25" customHeight="1">
      <c r="E400" s="4"/>
      <c r="F400" s="4"/>
    </row>
    <row r="401" spans="5:6" ht="14.25" customHeight="1">
      <c r="E401" s="4"/>
      <c r="F401" s="4"/>
    </row>
    <row r="402" spans="5:6" ht="14.25" customHeight="1">
      <c r="E402" s="4"/>
      <c r="F402" s="4"/>
    </row>
    <row r="403" spans="5:6" ht="14.25" customHeight="1">
      <c r="E403" s="4"/>
      <c r="F403" s="4"/>
    </row>
    <row r="404" spans="5:6" ht="14.25" customHeight="1">
      <c r="E404" s="4"/>
      <c r="F404" s="4"/>
    </row>
    <row r="405" spans="5:6" ht="14.25" customHeight="1">
      <c r="E405" s="4"/>
      <c r="F405" s="4"/>
    </row>
    <row r="406" spans="5:6" ht="14.25" customHeight="1">
      <c r="E406" s="4"/>
      <c r="F406" s="4"/>
    </row>
    <row r="407" spans="5:6" ht="14.25" customHeight="1">
      <c r="E407" s="4"/>
      <c r="F407" s="4"/>
    </row>
    <row r="408" spans="5:6" ht="14.25" customHeight="1">
      <c r="E408" s="4"/>
      <c r="F408" s="4"/>
    </row>
    <row r="409" spans="5:6" ht="14.25" customHeight="1">
      <c r="E409" s="4"/>
      <c r="F409" s="4"/>
    </row>
    <row r="410" spans="5:6" ht="14.25" customHeight="1">
      <c r="E410" s="4"/>
      <c r="F410" s="4"/>
    </row>
    <row r="411" spans="5:6" ht="14.25" customHeight="1">
      <c r="E411" s="4"/>
      <c r="F411" s="4"/>
    </row>
    <row r="412" spans="5:6" ht="14.25" customHeight="1">
      <c r="E412" s="4"/>
      <c r="F412" s="4"/>
    </row>
    <row r="413" spans="5:6" ht="14.25" customHeight="1">
      <c r="E413" s="4"/>
      <c r="F413" s="4"/>
    </row>
    <row r="414" spans="5:6" ht="14.25" customHeight="1">
      <c r="E414" s="4"/>
      <c r="F414" s="4"/>
    </row>
    <row r="415" spans="5:6" ht="14.25" customHeight="1">
      <c r="E415" s="4"/>
      <c r="F415" s="4"/>
    </row>
    <row r="416" spans="5:6" ht="14.25" customHeight="1">
      <c r="E416" s="4"/>
      <c r="F416" s="4"/>
    </row>
    <row r="417" spans="5:6" ht="14.25" customHeight="1">
      <c r="E417" s="4"/>
      <c r="F417" s="4"/>
    </row>
    <row r="418" spans="5:6" ht="14.25" customHeight="1">
      <c r="E418" s="4"/>
      <c r="F418" s="4"/>
    </row>
    <row r="419" spans="5:6" ht="14.25" customHeight="1">
      <c r="E419" s="4"/>
      <c r="F419" s="4"/>
    </row>
    <row r="420" spans="5:6" ht="14.25" customHeight="1">
      <c r="E420" s="4"/>
      <c r="F420" s="4"/>
    </row>
    <row r="421" spans="5:6" ht="14.25" customHeight="1">
      <c r="E421" s="4"/>
      <c r="F421" s="4"/>
    </row>
    <row r="422" spans="5:6" ht="14.25" customHeight="1">
      <c r="E422" s="4"/>
      <c r="F422" s="4"/>
    </row>
    <row r="423" spans="5:6" ht="14.25" customHeight="1">
      <c r="E423" s="4"/>
      <c r="F423" s="4"/>
    </row>
    <row r="424" spans="5:6" ht="14.25" customHeight="1">
      <c r="E424" s="4"/>
      <c r="F424" s="4"/>
    </row>
    <row r="425" spans="5:6" ht="14.25" customHeight="1">
      <c r="E425" s="4"/>
      <c r="F425" s="4"/>
    </row>
    <row r="426" spans="5:6" ht="14.25" customHeight="1">
      <c r="E426" s="4"/>
      <c r="F426" s="4"/>
    </row>
    <row r="427" spans="5:6" ht="14.25" customHeight="1">
      <c r="E427" s="4"/>
      <c r="F427" s="4"/>
    </row>
    <row r="428" spans="5:6" ht="14.25" customHeight="1">
      <c r="E428" s="4"/>
      <c r="F428" s="4"/>
    </row>
    <row r="429" spans="5:6" ht="14.25" customHeight="1">
      <c r="E429" s="4"/>
      <c r="F429" s="4"/>
    </row>
    <row r="430" spans="5:6" ht="14.25" customHeight="1">
      <c r="E430" s="4"/>
      <c r="F430" s="4"/>
    </row>
    <row r="431" spans="5:6" ht="14.25" customHeight="1">
      <c r="E431" s="4"/>
      <c r="F431" s="4"/>
    </row>
    <row r="432" spans="5:6" ht="14.25" customHeight="1">
      <c r="E432" s="4"/>
      <c r="F432" s="4"/>
    </row>
    <row r="433" spans="5:6" ht="14.25" customHeight="1">
      <c r="E433" s="4"/>
      <c r="F433" s="4"/>
    </row>
    <row r="434" spans="5:6" ht="14.25" customHeight="1">
      <c r="E434" s="4"/>
      <c r="F434" s="4"/>
    </row>
    <row r="435" spans="5:6" ht="14.25" customHeight="1">
      <c r="E435" s="4"/>
      <c r="F435" s="4"/>
    </row>
    <row r="436" spans="5:6" ht="14.25" customHeight="1">
      <c r="E436" s="4"/>
      <c r="F436" s="4"/>
    </row>
    <row r="437" spans="5:6" ht="14.25" customHeight="1">
      <c r="E437" s="4"/>
      <c r="F437" s="4"/>
    </row>
    <row r="438" spans="5:6" ht="14.25" customHeight="1">
      <c r="E438" s="4"/>
      <c r="F438" s="4"/>
    </row>
    <row r="439" spans="5:6" ht="14.25" customHeight="1">
      <c r="E439" s="4"/>
      <c r="F439" s="4"/>
    </row>
    <row r="440" spans="5:6" ht="14.25" customHeight="1">
      <c r="E440" s="4"/>
      <c r="F440" s="4"/>
    </row>
    <row r="441" spans="5:6" ht="14.25" customHeight="1">
      <c r="E441" s="4"/>
      <c r="F441" s="4"/>
    </row>
    <row r="442" spans="5:6" ht="14.25" customHeight="1">
      <c r="E442" s="4"/>
      <c r="F442" s="4"/>
    </row>
    <row r="443" spans="5:6" ht="14.25" customHeight="1">
      <c r="E443" s="4"/>
      <c r="F443" s="4"/>
    </row>
    <row r="444" spans="5:6" ht="14.25" customHeight="1">
      <c r="E444" s="4"/>
      <c r="F444" s="4"/>
    </row>
    <row r="445" spans="5:6" ht="14.25" customHeight="1">
      <c r="E445" s="4"/>
      <c r="F445" s="4"/>
    </row>
    <row r="446" spans="5:6" ht="14.25" customHeight="1">
      <c r="E446" s="4"/>
      <c r="F446" s="4"/>
    </row>
    <row r="447" spans="5:6" ht="14.25" customHeight="1">
      <c r="E447" s="4"/>
      <c r="F447" s="4"/>
    </row>
    <row r="448" spans="5:6" ht="14.25" customHeight="1">
      <c r="E448" s="4"/>
      <c r="F448" s="4"/>
    </row>
    <row r="449" spans="5:6" ht="14.25" customHeight="1">
      <c r="E449" s="4"/>
      <c r="F449" s="4"/>
    </row>
    <row r="450" spans="5:6" ht="14.25" customHeight="1">
      <c r="E450" s="4"/>
      <c r="F450" s="4"/>
    </row>
    <row r="451" spans="5:6" ht="14.25" customHeight="1">
      <c r="E451" s="4"/>
      <c r="F451" s="4"/>
    </row>
    <row r="452" spans="5:6" ht="14.25" customHeight="1">
      <c r="E452" s="4"/>
      <c r="F452" s="4"/>
    </row>
    <row r="453" spans="5:6" ht="14.25" customHeight="1">
      <c r="E453" s="4"/>
      <c r="F453" s="4"/>
    </row>
    <row r="454" spans="5:6" ht="14.25" customHeight="1">
      <c r="E454" s="4"/>
      <c r="F454" s="4"/>
    </row>
    <row r="455" spans="5:6" ht="14.25" customHeight="1">
      <c r="E455" s="4"/>
      <c r="F455" s="4"/>
    </row>
    <row r="456" spans="5:6" ht="14.25" customHeight="1">
      <c r="E456" s="4"/>
      <c r="F456" s="4"/>
    </row>
    <row r="457" spans="5:6" ht="14.25" customHeight="1">
      <c r="E457" s="4"/>
      <c r="F457" s="4"/>
    </row>
    <row r="458" spans="5:6" ht="14.25" customHeight="1">
      <c r="E458" s="4"/>
      <c r="F458" s="4"/>
    </row>
    <row r="459" spans="5:6" ht="14.25" customHeight="1">
      <c r="E459" s="4"/>
      <c r="F459" s="4"/>
    </row>
    <row r="460" spans="5:6" ht="14.25" customHeight="1">
      <c r="E460" s="4"/>
      <c r="F460" s="4"/>
    </row>
    <row r="461" spans="5:6" ht="14.25" customHeight="1">
      <c r="E461" s="4"/>
      <c r="F461" s="4"/>
    </row>
    <row r="462" spans="5:6" ht="14.25" customHeight="1">
      <c r="E462" s="4"/>
      <c r="F462" s="4"/>
    </row>
    <row r="463" spans="5:6" ht="14.25" customHeight="1">
      <c r="E463" s="4"/>
      <c r="F463" s="4"/>
    </row>
    <row r="464" spans="5:6" ht="14.25" customHeight="1">
      <c r="E464" s="4"/>
      <c r="F464" s="4"/>
    </row>
    <row r="465" spans="5:6" ht="14.25" customHeight="1">
      <c r="E465" s="4"/>
      <c r="F465" s="4"/>
    </row>
    <row r="466" spans="5:6" ht="14.25" customHeight="1">
      <c r="E466" s="4"/>
      <c r="F466" s="4"/>
    </row>
    <row r="467" spans="5:6" ht="14.25" customHeight="1">
      <c r="E467" s="4"/>
      <c r="F467" s="4"/>
    </row>
    <row r="468" spans="5:6" ht="14.25" customHeight="1">
      <c r="E468" s="4"/>
      <c r="F468" s="4"/>
    </row>
    <row r="469" spans="5:6" ht="14.25" customHeight="1">
      <c r="E469" s="4"/>
      <c r="F469" s="4"/>
    </row>
    <row r="470" spans="5:6" ht="14.25" customHeight="1">
      <c r="E470" s="4"/>
      <c r="F470" s="4"/>
    </row>
    <row r="471" spans="5:6" ht="14.25" customHeight="1">
      <c r="E471" s="4"/>
      <c r="F471" s="4"/>
    </row>
    <row r="472" spans="5:6" ht="14.25" customHeight="1">
      <c r="E472" s="4"/>
      <c r="F472" s="4"/>
    </row>
    <row r="473" spans="5:6" ht="14.25" customHeight="1">
      <c r="E473" s="4"/>
      <c r="F473" s="4"/>
    </row>
    <row r="474" spans="5:6" ht="14.25" customHeight="1">
      <c r="E474" s="4"/>
      <c r="F474" s="4"/>
    </row>
    <row r="475" spans="5:6" ht="14.25" customHeight="1">
      <c r="E475" s="4"/>
      <c r="F475" s="4"/>
    </row>
    <row r="476" spans="5:6" ht="14.25" customHeight="1">
      <c r="E476" s="4"/>
      <c r="F476" s="4"/>
    </row>
    <row r="477" spans="5:6" ht="14.25" customHeight="1">
      <c r="E477" s="4"/>
      <c r="F477" s="4"/>
    </row>
    <row r="478" spans="5:6" ht="14.25" customHeight="1">
      <c r="E478" s="4"/>
      <c r="F478" s="4"/>
    </row>
    <row r="479" spans="5:6" ht="14.25" customHeight="1">
      <c r="E479" s="4"/>
      <c r="F479" s="4"/>
    </row>
    <row r="480" spans="5:6" ht="14.25" customHeight="1">
      <c r="E480" s="4"/>
      <c r="F480" s="4"/>
    </row>
    <row r="481" spans="5:6" ht="14.25" customHeight="1">
      <c r="E481" s="4"/>
      <c r="F481" s="4"/>
    </row>
    <row r="482" spans="5:6" ht="14.25" customHeight="1">
      <c r="E482" s="4"/>
      <c r="F482" s="4"/>
    </row>
    <row r="483" spans="5:6" ht="14.25" customHeight="1">
      <c r="E483" s="4"/>
      <c r="F483" s="4"/>
    </row>
    <row r="484" spans="5:6" ht="14.25" customHeight="1">
      <c r="E484" s="4"/>
      <c r="F484" s="4"/>
    </row>
    <row r="485" spans="5:6" ht="14.25" customHeight="1">
      <c r="E485" s="4"/>
      <c r="F485" s="4"/>
    </row>
    <row r="486" spans="5:6" ht="14.25" customHeight="1">
      <c r="E486" s="4"/>
      <c r="F486" s="4"/>
    </row>
    <row r="487" spans="5:6" ht="14.25" customHeight="1">
      <c r="E487" s="4"/>
      <c r="F487" s="4"/>
    </row>
    <row r="488" spans="5:6" ht="14.25" customHeight="1">
      <c r="E488" s="4"/>
      <c r="F488" s="4"/>
    </row>
    <row r="489" spans="5:6" ht="14.25" customHeight="1">
      <c r="E489" s="4"/>
      <c r="F489" s="4"/>
    </row>
    <row r="490" spans="5:6" ht="14.25" customHeight="1">
      <c r="E490" s="4"/>
      <c r="F490" s="4"/>
    </row>
    <row r="491" spans="5:6" ht="14.25" customHeight="1">
      <c r="E491" s="4"/>
      <c r="F491" s="4"/>
    </row>
    <row r="492" spans="5:6" ht="14.25" customHeight="1">
      <c r="E492" s="4"/>
      <c r="F492" s="4"/>
    </row>
    <row r="493" spans="5:6" ht="14.25" customHeight="1">
      <c r="E493" s="4"/>
      <c r="F493" s="4"/>
    </row>
    <row r="494" spans="5:6" ht="14.25" customHeight="1">
      <c r="E494" s="4"/>
      <c r="F494" s="4"/>
    </row>
    <row r="495" spans="5:6" ht="14.25" customHeight="1">
      <c r="E495" s="4"/>
      <c r="F495" s="4"/>
    </row>
    <row r="496" spans="5:6" ht="14.25" customHeight="1">
      <c r="E496" s="4"/>
      <c r="F496" s="4"/>
    </row>
    <row r="497" spans="5:6" ht="14.25" customHeight="1">
      <c r="E497" s="4"/>
      <c r="F497" s="4"/>
    </row>
    <row r="498" spans="5:6" ht="14.25" customHeight="1">
      <c r="E498" s="4"/>
      <c r="F498" s="4"/>
    </row>
    <row r="499" spans="5:6" ht="14.25" customHeight="1">
      <c r="E499" s="4"/>
      <c r="F499" s="4"/>
    </row>
    <row r="500" spans="5:6" ht="14.25" customHeight="1">
      <c r="E500" s="4"/>
      <c r="F500" s="4"/>
    </row>
    <row r="501" spans="5:6" ht="14.25" customHeight="1">
      <c r="E501" s="4"/>
      <c r="F501" s="4"/>
    </row>
    <row r="502" spans="5:6" ht="14.25" customHeight="1">
      <c r="E502" s="4"/>
      <c r="F502" s="4"/>
    </row>
    <row r="503" spans="5:6" ht="14.25" customHeight="1">
      <c r="E503" s="4"/>
      <c r="F503" s="4"/>
    </row>
    <row r="504" spans="5:6" ht="14.25" customHeight="1">
      <c r="E504" s="4"/>
      <c r="F504" s="4"/>
    </row>
    <row r="505" spans="5:6" ht="14.25" customHeight="1">
      <c r="E505" s="4"/>
      <c r="F505" s="4"/>
    </row>
    <row r="506" spans="5:6" ht="14.25" customHeight="1">
      <c r="E506" s="4"/>
      <c r="F506" s="4"/>
    </row>
    <row r="507" spans="5:6" ht="14.25" customHeight="1">
      <c r="E507" s="4"/>
      <c r="F507" s="4"/>
    </row>
    <row r="508" spans="5:6" ht="14.25" customHeight="1">
      <c r="E508" s="4"/>
      <c r="F508" s="4"/>
    </row>
    <row r="509" spans="5:6" ht="14.25" customHeight="1">
      <c r="E509" s="4"/>
      <c r="F509" s="4"/>
    </row>
    <row r="510" spans="5:6" ht="14.25" customHeight="1">
      <c r="E510" s="4"/>
      <c r="F510" s="4"/>
    </row>
    <row r="511" spans="5:6" ht="14.25" customHeight="1">
      <c r="E511" s="4"/>
      <c r="F511" s="4"/>
    </row>
    <row r="512" spans="5:6" ht="14.25" customHeight="1">
      <c r="E512" s="4"/>
      <c r="F512" s="4"/>
    </row>
    <row r="513" spans="5:6" ht="14.25" customHeight="1">
      <c r="E513" s="4"/>
      <c r="F513" s="4"/>
    </row>
    <row r="514" spans="5:6" ht="14.25" customHeight="1">
      <c r="E514" s="4"/>
      <c r="F514" s="4"/>
    </row>
    <row r="515" spans="5:6" ht="14.25" customHeight="1">
      <c r="E515" s="4"/>
      <c r="F515" s="4"/>
    </row>
    <row r="516" spans="5:6" ht="14.25" customHeight="1">
      <c r="E516" s="4"/>
      <c r="F516" s="4"/>
    </row>
    <row r="517" spans="5:6" ht="14.25" customHeight="1">
      <c r="E517" s="4"/>
      <c r="F517" s="4"/>
    </row>
    <row r="518" spans="5:6" ht="14.25" customHeight="1">
      <c r="E518" s="4"/>
      <c r="F518" s="4"/>
    </row>
    <row r="519" spans="5:6" ht="14.25" customHeight="1">
      <c r="E519" s="4"/>
      <c r="F519" s="4"/>
    </row>
    <row r="520" spans="5:6" ht="14.25" customHeight="1">
      <c r="E520" s="4"/>
      <c r="F520" s="4"/>
    </row>
    <row r="521" spans="5:6" ht="14.25" customHeight="1">
      <c r="E521" s="4"/>
      <c r="F521" s="4"/>
    </row>
    <row r="522" spans="5:6" ht="14.25" customHeight="1">
      <c r="E522" s="4"/>
      <c r="F522" s="4"/>
    </row>
    <row r="523" spans="5:6" ht="14.25" customHeight="1">
      <c r="E523" s="4"/>
      <c r="F523" s="4"/>
    </row>
    <row r="524" spans="5:6" ht="14.25" customHeight="1">
      <c r="E524" s="4"/>
      <c r="F524" s="4"/>
    </row>
    <row r="525" spans="5:6" ht="14.25" customHeight="1">
      <c r="E525" s="4"/>
      <c r="F525" s="4"/>
    </row>
    <row r="526" spans="5:6" ht="14.25" customHeight="1">
      <c r="E526" s="4"/>
      <c r="F526" s="4"/>
    </row>
    <row r="527" spans="5:6" ht="14.25" customHeight="1">
      <c r="E527" s="4"/>
      <c r="F527" s="4"/>
    </row>
    <row r="528" spans="5:6" ht="14.25" customHeight="1">
      <c r="E528" s="4"/>
      <c r="F528" s="4"/>
    </row>
    <row r="529" spans="5:6" ht="14.25" customHeight="1">
      <c r="E529" s="4"/>
      <c r="F529" s="4"/>
    </row>
    <row r="530" spans="5:6" ht="14.25" customHeight="1">
      <c r="E530" s="4"/>
      <c r="F530" s="4"/>
    </row>
    <row r="531" spans="5:6" ht="14.25" customHeight="1">
      <c r="E531" s="4"/>
      <c r="F531" s="4"/>
    </row>
    <row r="532" spans="5:6" ht="14.25" customHeight="1">
      <c r="E532" s="4"/>
      <c r="F532" s="4"/>
    </row>
    <row r="533" spans="5:6" ht="14.25" customHeight="1">
      <c r="E533" s="4"/>
      <c r="F533" s="4"/>
    </row>
    <row r="534" spans="5:6" ht="14.25" customHeight="1">
      <c r="E534" s="4"/>
      <c r="F534" s="4"/>
    </row>
    <row r="535" spans="5:6" ht="14.25" customHeight="1">
      <c r="E535" s="4"/>
      <c r="F535" s="4"/>
    </row>
    <row r="536" spans="5:6" ht="14.25" customHeight="1">
      <c r="E536" s="4"/>
      <c r="F536" s="4"/>
    </row>
    <row r="537" spans="5:6" ht="14.25" customHeight="1">
      <c r="E537" s="4"/>
      <c r="F537" s="4"/>
    </row>
    <row r="538" spans="5:6" ht="14.25" customHeight="1">
      <c r="E538" s="4"/>
      <c r="F538" s="4"/>
    </row>
    <row r="539" spans="5:6" ht="14.25" customHeight="1">
      <c r="E539" s="4"/>
      <c r="F539" s="4"/>
    </row>
    <row r="540" spans="5:6" ht="14.25" customHeight="1">
      <c r="E540" s="4"/>
      <c r="F540" s="4"/>
    </row>
    <row r="541" spans="5:6" ht="14.25" customHeight="1">
      <c r="E541" s="4"/>
      <c r="F541" s="4"/>
    </row>
    <row r="542" spans="5:6" ht="14.25" customHeight="1">
      <c r="E542" s="4"/>
      <c r="F542" s="4"/>
    </row>
    <row r="543" spans="5:6" ht="14.25" customHeight="1">
      <c r="E543" s="4"/>
      <c r="F543" s="4"/>
    </row>
    <row r="544" spans="5:6" ht="14.25" customHeight="1">
      <c r="E544" s="4"/>
      <c r="F544" s="4"/>
    </row>
    <row r="545" spans="5:6" ht="14.25" customHeight="1">
      <c r="E545" s="4"/>
      <c r="F545" s="4"/>
    </row>
    <row r="546" spans="5:6" ht="14.25" customHeight="1">
      <c r="E546" s="4"/>
      <c r="F546" s="4"/>
    </row>
    <row r="547" spans="5:6" ht="14.25" customHeight="1">
      <c r="E547" s="4"/>
      <c r="F547" s="4"/>
    </row>
    <row r="548" spans="5:6" ht="14.25" customHeight="1">
      <c r="E548" s="4"/>
      <c r="F548" s="4"/>
    </row>
    <row r="549" spans="5:6" ht="14.25" customHeight="1">
      <c r="E549" s="4"/>
      <c r="F549" s="4"/>
    </row>
    <row r="550" spans="5:6" ht="14.25" customHeight="1">
      <c r="E550" s="4"/>
      <c r="F550" s="4"/>
    </row>
    <row r="551" spans="5:6" ht="14.25" customHeight="1">
      <c r="E551" s="4"/>
      <c r="F551" s="4"/>
    </row>
    <row r="552" spans="5:6" ht="14.25" customHeight="1">
      <c r="E552" s="4"/>
      <c r="F552" s="4"/>
    </row>
    <row r="553" spans="5:6" ht="14.25" customHeight="1">
      <c r="E553" s="4"/>
      <c r="F553" s="4"/>
    </row>
    <row r="554" spans="5:6" ht="14.25" customHeight="1">
      <c r="E554" s="4"/>
      <c r="F554" s="4"/>
    </row>
    <row r="555" spans="5:6" ht="14.25" customHeight="1">
      <c r="E555" s="4"/>
      <c r="F555" s="4"/>
    </row>
    <row r="556" spans="5:6" ht="14.25" customHeight="1">
      <c r="E556" s="4"/>
      <c r="F556" s="4"/>
    </row>
    <row r="557" spans="5:6" ht="14.25" customHeight="1">
      <c r="E557" s="4"/>
      <c r="F557" s="4"/>
    </row>
    <row r="558" spans="5:6" ht="14.25" customHeight="1">
      <c r="E558" s="4"/>
      <c r="F558" s="4"/>
    </row>
    <row r="559" spans="5:6" ht="14.25" customHeight="1">
      <c r="E559" s="4"/>
      <c r="F559" s="4"/>
    </row>
    <row r="560" spans="5:6" ht="14.25" customHeight="1">
      <c r="E560" s="4"/>
      <c r="F560" s="4"/>
    </row>
    <row r="561" spans="5:6" ht="14.25" customHeight="1">
      <c r="E561" s="4"/>
      <c r="F561" s="4"/>
    </row>
    <row r="562" spans="5:6" ht="14.25" customHeight="1">
      <c r="E562" s="4"/>
      <c r="F562" s="4"/>
    </row>
    <row r="563" spans="5:6" ht="14.25" customHeight="1">
      <c r="E563" s="4"/>
      <c r="F563" s="4"/>
    </row>
    <row r="564" spans="5:6" ht="14.25" customHeight="1">
      <c r="E564" s="4"/>
      <c r="F564" s="4"/>
    </row>
    <row r="565" spans="5:6" ht="14.25" customHeight="1">
      <c r="E565" s="4"/>
      <c r="F565" s="4"/>
    </row>
    <row r="566" spans="5:6" ht="14.25" customHeight="1">
      <c r="E566" s="4"/>
      <c r="F566" s="4"/>
    </row>
    <row r="567" spans="5:6" ht="14.25" customHeight="1">
      <c r="E567" s="4"/>
      <c r="F567" s="4"/>
    </row>
    <row r="568" spans="5:6" ht="14.25" customHeight="1">
      <c r="E568" s="4"/>
      <c r="F568" s="4"/>
    </row>
    <row r="569" spans="5:6" ht="14.25" customHeight="1">
      <c r="E569" s="4"/>
      <c r="F569" s="4"/>
    </row>
    <row r="570" spans="5:6" ht="14.25" customHeight="1">
      <c r="E570" s="4"/>
      <c r="F570" s="4"/>
    </row>
    <row r="571" spans="5:6" ht="14.25" customHeight="1">
      <c r="E571" s="4"/>
      <c r="F571" s="4"/>
    </row>
    <row r="572" spans="5:6" ht="14.25" customHeight="1">
      <c r="E572" s="4"/>
      <c r="F572" s="4"/>
    </row>
    <row r="573" spans="5:6" ht="14.25" customHeight="1">
      <c r="E573" s="4"/>
      <c r="F573" s="4"/>
    </row>
    <row r="574" spans="5:6" ht="14.25" customHeight="1">
      <c r="E574" s="4"/>
      <c r="F574" s="4"/>
    </row>
    <row r="575" spans="5:6" ht="14.25" customHeight="1">
      <c r="E575" s="4"/>
      <c r="F575" s="4"/>
    </row>
    <row r="576" spans="5:6" ht="14.25" customHeight="1">
      <c r="E576" s="4"/>
      <c r="F576" s="4"/>
    </row>
    <row r="577" spans="5:6" ht="14.25" customHeight="1">
      <c r="E577" s="4"/>
      <c r="F577" s="4"/>
    </row>
    <row r="578" spans="5:6" ht="14.25" customHeight="1">
      <c r="E578" s="4"/>
      <c r="F578" s="4"/>
    </row>
    <row r="579" spans="5:6" ht="14.25" customHeight="1">
      <c r="E579" s="4"/>
      <c r="F579" s="4"/>
    </row>
    <row r="580" spans="5:6" ht="14.25" customHeight="1">
      <c r="E580" s="4"/>
      <c r="F580" s="4"/>
    </row>
    <row r="581" spans="5:6" ht="14.25" customHeight="1">
      <c r="E581" s="4"/>
      <c r="F581" s="4"/>
    </row>
    <row r="582" spans="5:6" ht="14.25" customHeight="1">
      <c r="E582" s="4"/>
      <c r="F582" s="4"/>
    </row>
    <row r="583" spans="5:6" ht="14.25" customHeight="1">
      <c r="E583" s="4"/>
      <c r="F583" s="4"/>
    </row>
    <row r="584" spans="5:6" ht="14.25" customHeight="1">
      <c r="E584" s="4"/>
      <c r="F584" s="4"/>
    </row>
    <row r="585" spans="5:6" ht="14.25" customHeight="1">
      <c r="E585" s="4"/>
      <c r="F585" s="4"/>
    </row>
    <row r="586" spans="5:6" ht="14.25" customHeight="1">
      <c r="E586" s="4"/>
      <c r="F586" s="4"/>
    </row>
    <row r="587" spans="5:6" ht="14.25" customHeight="1">
      <c r="E587" s="4"/>
      <c r="F587" s="4"/>
    </row>
    <row r="588" spans="5:6" ht="14.25" customHeight="1">
      <c r="E588" s="4"/>
      <c r="F588" s="4"/>
    </row>
    <row r="589" spans="5:6" ht="14.25" customHeight="1">
      <c r="E589" s="4"/>
      <c r="F589" s="4"/>
    </row>
    <row r="590" spans="5:6" ht="14.25" customHeight="1">
      <c r="E590" s="4"/>
      <c r="F590" s="4"/>
    </row>
    <row r="591" spans="5:6" ht="14.25" customHeight="1">
      <c r="E591" s="4"/>
      <c r="F591" s="4"/>
    </row>
    <row r="592" spans="5:6" ht="14.25" customHeight="1">
      <c r="E592" s="4"/>
      <c r="F592" s="4"/>
    </row>
    <row r="593" spans="5:6" ht="14.25" customHeight="1">
      <c r="E593" s="4"/>
      <c r="F593" s="4"/>
    </row>
    <row r="594" spans="5:6" ht="14.25" customHeight="1">
      <c r="E594" s="4"/>
      <c r="F594" s="4"/>
    </row>
    <row r="595" spans="5:6" ht="14.25" customHeight="1">
      <c r="E595" s="4"/>
      <c r="F595" s="4"/>
    </row>
    <row r="596" spans="5:6" ht="14.25" customHeight="1">
      <c r="E596" s="4"/>
      <c r="F596" s="4"/>
    </row>
    <row r="597" spans="5:6" ht="14.25" customHeight="1">
      <c r="E597" s="4"/>
      <c r="F597" s="4"/>
    </row>
    <row r="598" spans="5:6" ht="14.25" customHeight="1">
      <c r="E598" s="4"/>
      <c r="F598" s="4"/>
    </row>
    <row r="599" spans="5:6" ht="14.25" customHeight="1">
      <c r="E599" s="4"/>
      <c r="F599" s="4"/>
    </row>
    <row r="600" spans="5:6" ht="14.25" customHeight="1">
      <c r="E600" s="4"/>
      <c r="F600" s="4"/>
    </row>
    <row r="601" spans="5:6" ht="14.25" customHeight="1">
      <c r="E601" s="4"/>
      <c r="F601" s="4"/>
    </row>
    <row r="602" spans="5:6" ht="14.25" customHeight="1">
      <c r="E602" s="4"/>
      <c r="F602" s="4"/>
    </row>
    <row r="603" spans="5:6" ht="14.25" customHeight="1">
      <c r="E603" s="4"/>
      <c r="F603" s="4"/>
    </row>
    <row r="604" spans="5:6" ht="14.25" customHeight="1">
      <c r="E604" s="4"/>
      <c r="F604" s="4"/>
    </row>
    <row r="605" spans="5:6" ht="14.25" customHeight="1">
      <c r="E605" s="4"/>
      <c r="F605" s="4"/>
    </row>
    <row r="606" spans="5:6" ht="14.25" customHeight="1">
      <c r="E606" s="4"/>
      <c r="F606" s="4"/>
    </row>
    <row r="607" spans="5:6" ht="14.25" customHeight="1">
      <c r="E607" s="4"/>
      <c r="F607" s="4"/>
    </row>
    <row r="608" spans="5:6" ht="14.25" customHeight="1">
      <c r="E608" s="4"/>
      <c r="F608" s="4"/>
    </row>
    <row r="609" spans="5:6" ht="14.25" customHeight="1">
      <c r="E609" s="4"/>
      <c r="F609" s="4"/>
    </row>
    <row r="610" spans="5:6" ht="14.25" customHeight="1">
      <c r="E610" s="4"/>
      <c r="F610" s="4"/>
    </row>
    <row r="611" spans="5:6" ht="14.25" customHeight="1">
      <c r="E611" s="4"/>
      <c r="F611" s="4"/>
    </row>
    <row r="612" spans="5:6" ht="14.25" customHeight="1">
      <c r="E612" s="4"/>
      <c r="F612" s="4"/>
    </row>
    <row r="613" spans="5:6" ht="14.25" customHeight="1">
      <c r="E613" s="4"/>
      <c r="F613" s="4"/>
    </row>
    <row r="614" spans="5:6" ht="14.25" customHeight="1">
      <c r="E614" s="4"/>
      <c r="F614" s="4"/>
    </row>
    <row r="615" spans="5:6" ht="14.25" customHeight="1">
      <c r="E615" s="4"/>
      <c r="F615" s="4"/>
    </row>
    <row r="616" spans="5:6" ht="14.25" customHeight="1">
      <c r="E616" s="4"/>
      <c r="F616" s="4"/>
    </row>
    <row r="617" spans="5:6" ht="14.25" customHeight="1">
      <c r="E617" s="4"/>
      <c r="F617" s="4"/>
    </row>
    <row r="618" spans="5:6" ht="14.25" customHeight="1">
      <c r="E618" s="4"/>
      <c r="F618" s="4"/>
    </row>
    <row r="619" spans="5:6" ht="14.25" customHeight="1">
      <c r="E619" s="4"/>
      <c r="F619" s="4"/>
    </row>
    <row r="620" spans="5:6" ht="14.25" customHeight="1">
      <c r="E620" s="4"/>
      <c r="F620" s="4"/>
    </row>
    <row r="621" spans="5:6" ht="14.25" customHeight="1">
      <c r="E621" s="4"/>
      <c r="F621" s="4"/>
    </row>
    <row r="622" spans="5:6" ht="14.25" customHeight="1">
      <c r="E622" s="4"/>
      <c r="F622" s="4"/>
    </row>
    <row r="623" spans="5:6" ht="14.25" customHeight="1">
      <c r="E623" s="4"/>
      <c r="F623" s="4"/>
    </row>
    <row r="624" spans="5:6" ht="14.25" customHeight="1">
      <c r="E624" s="4"/>
      <c r="F624" s="4"/>
    </row>
    <row r="625" spans="5:6" ht="14.25" customHeight="1">
      <c r="E625" s="4"/>
      <c r="F625" s="4"/>
    </row>
    <row r="626" spans="5:6" ht="14.25" customHeight="1">
      <c r="E626" s="4"/>
      <c r="F626" s="4"/>
    </row>
    <row r="627" spans="5:6" ht="14.25" customHeight="1">
      <c r="E627" s="4"/>
      <c r="F627" s="4"/>
    </row>
    <row r="628" spans="5:6" ht="14.25" customHeight="1">
      <c r="E628" s="4"/>
      <c r="F628" s="4"/>
    </row>
    <row r="629" spans="5:6" ht="14.25" customHeight="1">
      <c r="E629" s="4"/>
      <c r="F629" s="4"/>
    </row>
    <row r="630" spans="5:6" ht="14.25" customHeight="1">
      <c r="E630" s="4"/>
      <c r="F630" s="4"/>
    </row>
    <row r="631" spans="5:6" ht="14.25" customHeight="1">
      <c r="E631" s="4"/>
      <c r="F631" s="4"/>
    </row>
    <row r="632" spans="5:6" ht="14.25" customHeight="1">
      <c r="E632" s="4"/>
      <c r="F632" s="4"/>
    </row>
    <row r="633" spans="5:6" ht="14.25" customHeight="1">
      <c r="E633" s="4"/>
      <c r="F633" s="4"/>
    </row>
    <row r="634" spans="5:6" ht="14.25" customHeight="1">
      <c r="E634" s="4"/>
      <c r="F634" s="4"/>
    </row>
    <row r="635" spans="5:6" ht="14.25" customHeight="1">
      <c r="E635" s="4"/>
      <c r="F635" s="4"/>
    </row>
    <row r="636" spans="5:6" ht="14.25" customHeight="1">
      <c r="E636" s="4"/>
      <c r="F636" s="4"/>
    </row>
    <row r="637" spans="5:6" ht="14.25" customHeight="1">
      <c r="E637" s="4"/>
      <c r="F637" s="4"/>
    </row>
    <row r="638" spans="5:6" ht="14.25" customHeight="1">
      <c r="E638" s="4"/>
      <c r="F638" s="4"/>
    </row>
    <row r="639" spans="5:6" ht="14.25" customHeight="1">
      <c r="E639" s="4"/>
      <c r="F639" s="4"/>
    </row>
    <row r="640" spans="5:6" ht="14.25" customHeight="1">
      <c r="E640" s="4"/>
      <c r="F640" s="4"/>
    </row>
    <row r="641" spans="5:6" ht="14.25" customHeight="1">
      <c r="E641" s="4"/>
      <c r="F641" s="4"/>
    </row>
    <row r="642" spans="5:6" ht="14.25" customHeight="1">
      <c r="E642" s="4"/>
      <c r="F642" s="4"/>
    </row>
    <row r="643" spans="5:6" ht="14.25" customHeight="1">
      <c r="E643" s="4"/>
      <c r="F643" s="4"/>
    </row>
    <row r="644" spans="5:6" ht="14.25" customHeight="1">
      <c r="E644" s="4"/>
      <c r="F644" s="4"/>
    </row>
    <row r="645" spans="5:6" ht="14.25" customHeight="1">
      <c r="E645" s="4"/>
      <c r="F645" s="4"/>
    </row>
    <row r="646" spans="5:6" ht="14.25" customHeight="1">
      <c r="E646" s="4"/>
      <c r="F646" s="4"/>
    </row>
    <row r="647" spans="5:6" ht="14.25" customHeight="1">
      <c r="E647" s="4"/>
      <c r="F647" s="4"/>
    </row>
    <row r="648" spans="5:6" ht="14.25" customHeight="1">
      <c r="E648" s="4"/>
      <c r="F648" s="4"/>
    </row>
    <row r="649" spans="5:6" ht="14.25" customHeight="1">
      <c r="E649" s="4"/>
      <c r="F649" s="4"/>
    </row>
    <row r="650" spans="5:6" ht="14.25" customHeight="1">
      <c r="E650" s="4"/>
      <c r="F650" s="4"/>
    </row>
    <row r="651" spans="5:6" ht="14.25" customHeight="1">
      <c r="E651" s="4"/>
      <c r="F651" s="4"/>
    </row>
    <row r="652" spans="5:6" ht="14.25" customHeight="1">
      <c r="E652" s="4"/>
      <c r="F652" s="4"/>
    </row>
    <row r="653" spans="5:6" ht="14.25" customHeight="1">
      <c r="E653" s="4"/>
      <c r="F653" s="4"/>
    </row>
    <row r="654" spans="5:6" ht="14.25" customHeight="1">
      <c r="E654" s="4"/>
      <c r="F654" s="4"/>
    </row>
    <row r="655" spans="5:6" ht="14.25" customHeight="1">
      <c r="E655" s="4"/>
      <c r="F655" s="4"/>
    </row>
    <row r="656" spans="5:6" ht="14.25" customHeight="1">
      <c r="E656" s="4"/>
      <c r="F656" s="4"/>
    </row>
    <row r="657" spans="5:6" ht="14.25" customHeight="1">
      <c r="E657" s="4"/>
      <c r="F657" s="4"/>
    </row>
    <row r="658" spans="5:6" ht="14.25" customHeight="1">
      <c r="E658" s="4"/>
      <c r="F658" s="4"/>
    </row>
    <row r="659" spans="5:6" ht="14.25" customHeight="1">
      <c r="E659" s="4"/>
      <c r="F659" s="4"/>
    </row>
    <row r="660" spans="5:6" ht="14.25" customHeight="1">
      <c r="E660" s="4"/>
      <c r="F660" s="4"/>
    </row>
    <row r="661" spans="5:6" ht="14.25" customHeight="1">
      <c r="E661" s="4"/>
      <c r="F661" s="4"/>
    </row>
    <row r="662" spans="5:6" ht="14.25" customHeight="1">
      <c r="E662" s="4"/>
      <c r="F662" s="4"/>
    </row>
    <row r="663" spans="5:6" ht="14.25" customHeight="1">
      <c r="E663" s="4"/>
      <c r="F663" s="4"/>
    </row>
    <row r="664" spans="5:6" ht="14.25" customHeight="1">
      <c r="E664" s="4"/>
      <c r="F664" s="4"/>
    </row>
    <row r="665" spans="5:6" ht="14.25" customHeight="1">
      <c r="E665" s="4"/>
      <c r="F665" s="4"/>
    </row>
    <row r="666" spans="5:6" ht="14.25" customHeight="1">
      <c r="E666" s="4"/>
      <c r="F666" s="4"/>
    </row>
    <row r="667" spans="5:6" ht="14.25" customHeight="1">
      <c r="E667" s="4"/>
      <c r="F667" s="4"/>
    </row>
    <row r="668" spans="5:6" ht="14.25" customHeight="1">
      <c r="E668" s="4"/>
      <c r="F668" s="4"/>
    </row>
    <row r="669" spans="5:6" ht="14.25" customHeight="1">
      <c r="E669" s="4"/>
      <c r="F669" s="4"/>
    </row>
    <row r="670" spans="5:6" ht="14.25" customHeight="1">
      <c r="E670" s="4"/>
      <c r="F670" s="4"/>
    </row>
    <row r="671" spans="5:6" ht="14.25" customHeight="1">
      <c r="E671" s="4"/>
      <c r="F671" s="4"/>
    </row>
    <row r="672" spans="5:6" ht="14.25" customHeight="1">
      <c r="E672" s="4"/>
      <c r="F672" s="4"/>
    </row>
    <row r="673" spans="5:6" ht="14.25" customHeight="1">
      <c r="E673" s="4"/>
      <c r="F673" s="4"/>
    </row>
    <row r="674" spans="5:6" ht="14.25" customHeight="1">
      <c r="E674" s="4"/>
      <c r="F674" s="4"/>
    </row>
    <row r="675" spans="5:6" ht="14.25" customHeight="1">
      <c r="E675" s="4"/>
      <c r="F675" s="4"/>
    </row>
    <row r="676" spans="5:6" ht="14.25" customHeight="1">
      <c r="E676" s="4"/>
      <c r="F676" s="4"/>
    </row>
    <row r="677" spans="5:6" ht="14.25" customHeight="1">
      <c r="E677" s="4"/>
      <c r="F677" s="4"/>
    </row>
    <row r="678" spans="5:6" ht="14.25" customHeight="1">
      <c r="E678" s="4"/>
      <c r="F678" s="4"/>
    </row>
    <row r="679" spans="5:6" ht="14.25" customHeight="1">
      <c r="E679" s="4"/>
      <c r="F679" s="4"/>
    </row>
    <row r="680" spans="5:6" ht="14.25" customHeight="1">
      <c r="E680" s="4"/>
      <c r="F680" s="4"/>
    </row>
    <row r="681" spans="5:6" ht="14.25" customHeight="1">
      <c r="E681" s="4"/>
      <c r="F681" s="4"/>
    </row>
    <row r="682" spans="5:6" ht="14.25" customHeight="1">
      <c r="E682" s="4"/>
      <c r="F682" s="4"/>
    </row>
    <row r="683" spans="5:6" ht="14.25" customHeight="1">
      <c r="E683" s="4"/>
      <c r="F683" s="4"/>
    </row>
    <row r="684" spans="5:6" ht="14.25" customHeight="1">
      <c r="E684" s="4"/>
      <c r="F684" s="4"/>
    </row>
    <row r="685" spans="5:6" ht="14.25" customHeight="1">
      <c r="E685" s="4"/>
      <c r="F685" s="4"/>
    </row>
    <row r="686" spans="5:6" ht="14.25" customHeight="1">
      <c r="E686" s="4"/>
      <c r="F686" s="4"/>
    </row>
    <row r="687" spans="5:6" ht="14.25" customHeight="1">
      <c r="E687" s="4"/>
      <c r="F687" s="4"/>
    </row>
    <row r="688" spans="5:6" ht="14.25" customHeight="1">
      <c r="E688" s="4"/>
      <c r="F688" s="4"/>
    </row>
    <row r="689" spans="5:6" ht="14.25" customHeight="1">
      <c r="E689" s="4"/>
      <c r="F689" s="4"/>
    </row>
    <row r="690" spans="5:6" ht="14.25" customHeight="1">
      <c r="E690" s="4"/>
      <c r="F690" s="4"/>
    </row>
    <row r="691" spans="5:6" ht="14.25" customHeight="1">
      <c r="E691" s="4"/>
      <c r="F691" s="4"/>
    </row>
    <row r="692" spans="5:6" ht="14.25" customHeight="1">
      <c r="E692" s="4"/>
      <c r="F692" s="4"/>
    </row>
    <row r="693" spans="5:6" ht="14.25" customHeight="1">
      <c r="E693" s="4"/>
      <c r="F693" s="4"/>
    </row>
    <row r="694" spans="5:6" ht="14.25" customHeight="1">
      <c r="E694" s="4"/>
      <c r="F694" s="4"/>
    </row>
    <row r="695" spans="5:6" ht="14.25" customHeight="1">
      <c r="E695" s="4"/>
      <c r="F695" s="4"/>
    </row>
    <row r="696" spans="5:6" ht="14.25" customHeight="1">
      <c r="E696" s="4"/>
      <c r="F696" s="4"/>
    </row>
    <row r="697" spans="5:6" ht="14.25" customHeight="1">
      <c r="E697" s="4"/>
      <c r="F697" s="4"/>
    </row>
    <row r="698" spans="5:6" ht="14.25" customHeight="1">
      <c r="E698" s="4"/>
      <c r="F698" s="4"/>
    </row>
    <row r="699" spans="5:6" ht="14.25" customHeight="1">
      <c r="E699" s="4"/>
      <c r="F699" s="4"/>
    </row>
    <row r="700" spans="5:6" ht="14.25" customHeight="1">
      <c r="E700" s="4"/>
      <c r="F700" s="4"/>
    </row>
    <row r="701" spans="5:6" ht="14.25" customHeight="1">
      <c r="E701" s="4"/>
      <c r="F701" s="4"/>
    </row>
    <row r="702" spans="5:6" ht="14.25" customHeight="1">
      <c r="E702" s="4"/>
      <c r="F702" s="4"/>
    </row>
    <row r="703" spans="5:6" ht="14.25" customHeight="1">
      <c r="E703" s="4"/>
      <c r="F703" s="4"/>
    </row>
    <row r="704" spans="5:6" ht="14.25" customHeight="1">
      <c r="E704" s="4"/>
      <c r="F704" s="4"/>
    </row>
    <row r="705" spans="5:6" ht="14.25" customHeight="1">
      <c r="E705" s="4"/>
      <c r="F705" s="4"/>
    </row>
    <row r="706" spans="5:6" ht="14.25" customHeight="1">
      <c r="E706" s="4"/>
      <c r="F706" s="4"/>
    </row>
    <row r="707" spans="5:6" ht="14.25" customHeight="1">
      <c r="E707" s="4"/>
      <c r="F707" s="4"/>
    </row>
    <row r="708" spans="5:6" ht="14.25" customHeight="1">
      <c r="E708" s="4"/>
      <c r="F708" s="4"/>
    </row>
    <row r="709" spans="5:6" ht="14.25" customHeight="1">
      <c r="E709" s="4"/>
      <c r="F709" s="4"/>
    </row>
    <row r="710" spans="5:6" ht="14.25" customHeight="1">
      <c r="E710" s="4"/>
      <c r="F710" s="4"/>
    </row>
    <row r="711" spans="5:6" ht="14.25" customHeight="1">
      <c r="E711" s="4"/>
      <c r="F711" s="4"/>
    </row>
    <row r="712" spans="5:6" ht="14.25" customHeight="1">
      <c r="E712" s="4"/>
      <c r="F712" s="4"/>
    </row>
    <row r="713" spans="5:6" ht="14.25" customHeight="1">
      <c r="E713" s="4"/>
      <c r="F713" s="4"/>
    </row>
    <row r="714" spans="5:6" ht="14.25" customHeight="1">
      <c r="E714" s="4"/>
      <c r="F714" s="4"/>
    </row>
    <row r="715" spans="5:6" ht="14.25" customHeight="1">
      <c r="E715" s="4"/>
      <c r="F715" s="4"/>
    </row>
    <row r="716" spans="5:6" ht="14.25" customHeight="1">
      <c r="E716" s="4"/>
      <c r="F716" s="4"/>
    </row>
    <row r="717" spans="5:6" ht="14.25" customHeight="1">
      <c r="E717" s="4"/>
      <c r="F717" s="4"/>
    </row>
    <row r="718" spans="5:6" ht="14.25" customHeight="1">
      <c r="E718" s="4"/>
      <c r="F718" s="4"/>
    </row>
    <row r="719" spans="5:6" ht="14.25" customHeight="1">
      <c r="E719" s="4"/>
      <c r="F719" s="4"/>
    </row>
    <row r="720" spans="5:6" ht="14.25" customHeight="1">
      <c r="E720" s="4"/>
      <c r="F720" s="4"/>
    </row>
    <row r="721" spans="5:6" ht="14.25" customHeight="1">
      <c r="E721" s="4"/>
      <c r="F721" s="4"/>
    </row>
    <row r="722" spans="5:6" ht="14.25" customHeight="1">
      <c r="E722" s="4"/>
      <c r="F722" s="4"/>
    </row>
    <row r="723" spans="5:6" ht="14.25" customHeight="1">
      <c r="E723" s="4"/>
      <c r="F723" s="4"/>
    </row>
    <row r="724" spans="5:6" ht="14.25" customHeight="1">
      <c r="E724" s="4"/>
      <c r="F724" s="4"/>
    </row>
    <row r="725" spans="5:6" ht="14.25" customHeight="1">
      <c r="E725" s="4"/>
      <c r="F725" s="4"/>
    </row>
    <row r="726" spans="5:6" ht="14.25" customHeight="1">
      <c r="E726" s="4"/>
      <c r="F726" s="4"/>
    </row>
    <row r="727" spans="5:6" ht="14.25" customHeight="1">
      <c r="E727" s="4"/>
      <c r="F727" s="4"/>
    </row>
    <row r="728" spans="5:6" ht="14.25" customHeight="1">
      <c r="E728" s="4"/>
      <c r="F728" s="4"/>
    </row>
    <row r="729" spans="5:6" ht="14.25" customHeight="1">
      <c r="E729" s="4"/>
      <c r="F729" s="4"/>
    </row>
    <row r="730" spans="5:6" ht="14.25" customHeight="1">
      <c r="E730" s="4"/>
      <c r="F730" s="4"/>
    </row>
    <row r="731" spans="5:6" ht="14.25" customHeight="1">
      <c r="E731" s="4"/>
      <c r="F731" s="4"/>
    </row>
    <row r="732" spans="5:6" ht="14.25" customHeight="1">
      <c r="E732" s="4"/>
      <c r="F732" s="4"/>
    </row>
    <row r="733" spans="5:6" ht="14.25" customHeight="1">
      <c r="E733" s="4"/>
      <c r="F733" s="4"/>
    </row>
    <row r="734" spans="5:6" ht="14.25" customHeight="1">
      <c r="E734" s="4"/>
      <c r="F734" s="4"/>
    </row>
    <row r="735" spans="5:6" ht="14.25" customHeight="1">
      <c r="E735" s="4"/>
      <c r="F735" s="4"/>
    </row>
    <row r="736" spans="5:6" ht="14.25" customHeight="1">
      <c r="E736" s="4"/>
      <c r="F736" s="4"/>
    </row>
    <row r="737" spans="5:6" ht="14.25" customHeight="1">
      <c r="E737" s="4"/>
      <c r="F737" s="4"/>
    </row>
    <row r="738" spans="5:6" ht="14.25" customHeight="1">
      <c r="E738" s="4"/>
      <c r="F738" s="4"/>
    </row>
    <row r="739" spans="5:6" ht="14.25" customHeight="1">
      <c r="E739" s="4"/>
      <c r="F739" s="4"/>
    </row>
    <row r="740" spans="5:6" ht="14.25" customHeight="1">
      <c r="E740" s="4"/>
      <c r="F740" s="4"/>
    </row>
    <row r="741" spans="5:6" ht="14.25" customHeight="1">
      <c r="E741" s="4"/>
      <c r="F741" s="4"/>
    </row>
    <row r="742" spans="5:6" ht="14.25" customHeight="1">
      <c r="E742" s="4"/>
      <c r="F742" s="4"/>
    </row>
    <row r="743" spans="5:6" ht="14.25" customHeight="1">
      <c r="E743" s="4"/>
      <c r="F743" s="4"/>
    </row>
    <row r="744" spans="5:6" ht="14.25" customHeight="1">
      <c r="E744" s="4"/>
      <c r="F744" s="4"/>
    </row>
    <row r="745" spans="5:6" ht="14.25" customHeight="1">
      <c r="E745" s="4"/>
      <c r="F745" s="4"/>
    </row>
    <row r="746" spans="5:6" ht="14.25" customHeight="1">
      <c r="E746" s="4"/>
      <c r="F746" s="4"/>
    </row>
    <row r="747" spans="5:6" ht="14.25" customHeight="1">
      <c r="E747" s="4"/>
      <c r="F747" s="4"/>
    </row>
    <row r="748" spans="5:6" ht="14.25" customHeight="1">
      <c r="E748" s="4"/>
      <c r="F748" s="4"/>
    </row>
    <row r="749" spans="5:6" ht="14.25" customHeight="1">
      <c r="E749" s="4"/>
      <c r="F749" s="4"/>
    </row>
    <row r="750" spans="5:6" ht="14.25" customHeight="1">
      <c r="E750" s="4"/>
      <c r="F750" s="4"/>
    </row>
    <row r="751" spans="5:6" ht="14.25" customHeight="1">
      <c r="E751" s="4"/>
      <c r="F751" s="4"/>
    </row>
    <row r="752" spans="5:6" ht="14.25" customHeight="1">
      <c r="E752" s="4"/>
      <c r="F752" s="4"/>
    </row>
    <row r="753" spans="5:6" ht="14.25" customHeight="1">
      <c r="E753" s="4"/>
      <c r="F753" s="4"/>
    </row>
    <row r="754" spans="5:6" ht="14.25" customHeight="1">
      <c r="E754" s="4"/>
      <c r="F754" s="4"/>
    </row>
    <row r="755" spans="5:6" ht="14.25" customHeight="1">
      <c r="E755" s="4"/>
      <c r="F755" s="4"/>
    </row>
    <row r="756" spans="5:6" ht="14.25" customHeight="1">
      <c r="E756" s="4"/>
      <c r="F756" s="4"/>
    </row>
    <row r="757" spans="5:6" ht="14.25" customHeight="1">
      <c r="E757" s="4"/>
      <c r="F757" s="4"/>
    </row>
    <row r="758" spans="5:6" ht="14.25" customHeight="1">
      <c r="E758" s="4"/>
      <c r="F758" s="4"/>
    </row>
    <row r="759" spans="5:6" ht="14.25" customHeight="1">
      <c r="E759" s="4"/>
      <c r="F759" s="4"/>
    </row>
    <row r="760" spans="5:6" ht="14.25" customHeight="1">
      <c r="E760" s="4"/>
      <c r="F760" s="4"/>
    </row>
    <row r="761" spans="5:6" ht="14.25" customHeight="1">
      <c r="E761" s="4"/>
      <c r="F761" s="4"/>
    </row>
    <row r="762" spans="5:6" ht="14.25" customHeight="1">
      <c r="E762" s="4"/>
      <c r="F762" s="4"/>
    </row>
    <row r="763" spans="5:6" ht="14.25" customHeight="1">
      <c r="E763" s="4"/>
      <c r="F763" s="4"/>
    </row>
    <row r="764" spans="5:6" ht="14.25" customHeight="1">
      <c r="E764" s="4"/>
      <c r="F764" s="4"/>
    </row>
    <row r="765" spans="5:6" ht="14.25" customHeight="1">
      <c r="E765" s="4"/>
      <c r="F765" s="4"/>
    </row>
    <row r="766" spans="5:6" ht="14.25" customHeight="1">
      <c r="E766" s="4"/>
      <c r="F766" s="4"/>
    </row>
    <row r="767" spans="5:6" ht="14.25" customHeight="1">
      <c r="E767" s="4"/>
      <c r="F767" s="4"/>
    </row>
    <row r="768" spans="5:6" ht="14.25" customHeight="1">
      <c r="E768" s="4"/>
      <c r="F768" s="4"/>
    </row>
    <row r="769" spans="5:6" ht="14.25" customHeight="1">
      <c r="E769" s="4"/>
      <c r="F769" s="4"/>
    </row>
    <row r="770" spans="5:6" ht="14.25" customHeight="1">
      <c r="E770" s="4"/>
      <c r="F770" s="4"/>
    </row>
    <row r="771" spans="5:6" ht="14.25" customHeight="1">
      <c r="E771" s="4"/>
      <c r="F771" s="4"/>
    </row>
    <row r="772" spans="5:6" ht="14.25" customHeight="1">
      <c r="E772" s="4"/>
      <c r="F772" s="4"/>
    </row>
    <row r="773" spans="5:6" ht="14.25" customHeight="1">
      <c r="E773" s="4"/>
      <c r="F773" s="4"/>
    </row>
    <row r="774" spans="5:6" ht="14.25" customHeight="1">
      <c r="E774" s="4"/>
      <c r="F774" s="4"/>
    </row>
    <row r="775" spans="5:6" ht="14.25" customHeight="1">
      <c r="E775" s="4"/>
      <c r="F775" s="4"/>
    </row>
    <row r="776" spans="5:6" ht="14.25" customHeight="1">
      <c r="E776" s="4"/>
      <c r="F776" s="4"/>
    </row>
    <row r="777" spans="5:6" ht="14.25" customHeight="1">
      <c r="E777" s="4"/>
      <c r="F777" s="4"/>
    </row>
    <row r="778" spans="5:6" ht="14.25" customHeight="1">
      <c r="E778" s="4"/>
      <c r="F778" s="4"/>
    </row>
    <row r="779" spans="5:6" ht="14.25" customHeight="1">
      <c r="E779" s="4"/>
      <c r="F779" s="4"/>
    </row>
    <row r="780" spans="5:6" ht="14.25" customHeight="1">
      <c r="E780" s="4"/>
      <c r="F780" s="4"/>
    </row>
    <row r="781" spans="5:6" ht="14.25" customHeight="1">
      <c r="E781" s="4"/>
      <c r="F781" s="4"/>
    </row>
    <row r="782" spans="5:6" ht="14.25" customHeight="1">
      <c r="E782" s="4"/>
      <c r="F782" s="4"/>
    </row>
    <row r="783" spans="5:6" ht="14.25" customHeight="1">
      <c r="E783" s="4"/>
      <c r="F783" s="4"/>
    </row>
    <row r="784" spans="5:6" ht="14.25" customHeight="1">
      <c r="E784" s="4"/>
      <c r="F784" s="4"/>
    </row>
    <row r="785" spans="5:6" ht="14.25" customHeight="1">
      <c r="E785" s="4"/>
      <c r="F785" s="4"/>
    </row>
    <row r="786" spans="5:6" ht="14.25" customHeight="1">
      <c r="E786" s="4"/>
      <c r="F786" s="4"/>
    </row>
    <row r="787" spans="5:6" ht="14.25" customHeight="1">
      <c r="E787" s="4"/>
      <c r="F787" s="4"/>
    </row>
    <row r="788" spans="5:6" ht="14.25" customHeight="1">
      <c r="E788" s="4"/>
      <c r="F788" s="4"/>
    </row>
    <row r="789" spans="5:6" ht="14.25" customHeight="1">
      <c r="E789" s="4"/>
      <c r="F789" s="4"/>
    </row>
    <row r="790" spans="5:6" ht="14.25" customHeight="1">
      <c r="E790" s="4"/>
      <c r="F790" s="4"/>
    </row>
    <row r="791" spans="5:6" ht="14.25" customHeight="1">
      <c r="E791" s="4"/>
      <c r="F791" s="4"/>
    </row>
    <row r="792" spans="5:6" ht="14.25" customHeight="1">
      <c r="E792" s="4"/>
      <c r="F792" s="4"/>
    </row>
    <row r="793" spans="5:6" ht="14.25" customHeight="1">
      <c r="E793" s="4"/>
      <c r="F793" s="4"/>
    </row>
    <row r="794" spans="5:6" ht="14.25" customHeight="1">
      <c r="E794" s="4"/>
      <c r="F794" s="4"/>
    </row>
    <row r="795" spans="5:6" ht="14.25" customHeight="1">
      <c r="E795" s="4"/>
      <c r="F795" s="4"/>
    </row>
    <row r="796" spans="5:6" ht="14.25" customHeight="1">
      <c r="E796" s="4"/>
      <c r="F796" s="4"/>
    </row>
    <row r="797" spans="5:6" ht="14.25" customHeight="1">
      <c r="E797" s="4"/>
      <c r="F797" s="4"/>
    </row>
    <row r="798" spans="5:6" ht="14.25" customHeight="1">
      <c r="E798" s="4"/>
      <c r="F798" s="4"/>
    </row>
    <row r="799" spans="5:6" ht="14.25" customHeight="1">
      <c r="E799" s="4"/>
      <c r="F799" s="4"/>
    </row>
    <row r="800" spans="5:6" ht="14.25" customHeight="1">
      <c r="E800" s="4"/>
      <c r="F800" s="4"/>
    </row>
    <row r="801" spans="5:6" ht="14.25" customHeight="1">
      <c r="E801" s="4"/>
      <c r="F801" s="4"/>
    </row>
    <row r="802" spans="5:6" ht="14.25" customHeight="1">
      <c r="E802" s="4"/>
      <c r="F802" s="4"/>
    </row>
    <row r="803" spans="5:6" ht="14.25" customHeight="1">
      <c r="E803" s="4"/>
      <c r="F803" s="4"/>
    </row>
    <row r="804" spans="5:6" ht="14.25" customHeight="1">
      <c r="E804" s="4"/>
      <c r="F804" s="4"/>
    </row>
    <row r="805" spans="5:6" ht="14.25" customHeight="1">
      <c r="E805" s="4"/>
      <c r="F805" s="4"/>
    </row>
    <row r="806" spans="5:6" ht="14.25" customHeight="1">
      <c r="E806" s="4"/>
      <c r="F806" s="4"/>
    </row>
    <row r="807" spans="5:6" ht="14.25" customHeight="1">
      <c r="E807" s="4"/>
      <c r="F807" s="4"/>
    </row>
    <row r="808" spans="5:6" ht="14.25" customHeight="1">
      <c r="E808" s="4"/>
      <c r="F808" s="4"/>
    </row>
    <row r="809" spans="5:6" ht="14.25" customHeight="1">
      <c r="E809" s="4"/>
      <c r="F809" s="4"/>
    </row>
    <row r="810" spans="5:6" ht="14.25" customHeight="1">
      <c r="E810" s="4"/>
      <c r="F810" s="4"/>
    </row>
    <row r="811" spans="5:6" ht="14.25" customHeight="1">
      <c r="E811" s="4"/>
      <c r="F811" s="4"/>
    </row>
    <row r="812" spans="5:6" ht="14.25" customHeight="1">
      <c r="E812" s="4"/>
      <c r="F812" s="4"/>
    </row>
    <row r="813" spans="5:6" ht="14.25" customHeight="1">
      <c r="E813" s="4"/>
      <c r="F813" s="4"/>
    </row>
    <row r="814" spans="5:6" ht="14.25" customHeight="1">
      <c r="E814" s="4"/>
      <c r="F814" s="4"/>
    </row>
    <row r="815" spans="5:6" ht="14.25" customHeight="1">
      <c r="E815" s="4"/>
      <c r="F815" s="4"/>
    </row>
    <row r="816" spans="5:6" ht="14.25" customHeight="1">
      <c r="E816" s="4"/>
      <c r="F816" s="4"/>
    </row>
    <row r="817" spans="5:6" ht="14.25" customHeight="1">
      <c r="E817" s="4"/>
      <c r="F817" s="4"/>
    </row>
    <row r="818" spans="5:6" ht="14.25" customHeight="1">
      <c r="E818" s="4"/>
      <c r="F818" s="4"/>
    </row>
    <row r="819" spans="5:6" ht="14.25" customHeight="1">
      <c r="E819" s="4"/>
      <c r="F819" s="4"/>
    </row>
    <row r="820" spans="5:6" ht="14.25" customHeight="1">
      <c r="E820" s="4"/>
      <c r="F820" s="4"/>
    </row>
    <row r="821" spans="5:6" ht="14.25" customHeight="1">
      <c r="E821" s="4"/>
      <c r="F821" s="4"/>
    </row>
    <row r="822" spans="5:6" ht="14.25" customHeight="1">
      <c r="E822" s="4"/>
      <c r="F822" s="4"/>
    </row>
    <row r="823" spans="5:6" ht="14.25" customHeight="1">
      <c r="E823" s="4"/>
      <c r="F823" s="4"/>
    </row>
    <row r="824" spans="5:6" ht="14.25" customHeight="1">
      <c r="E824" s="4"/>
      <c r="F824" s="4"/>
    </row>
    <row r="825" spans="5:6" ht="14.25" customHeight="1">
      <c r="E825" s="4"/>
      <c r="F825" s="4"/>
    </row>
    <row r="826" spans="5:6" ht="14.25" customHeight="1">
      <c r="E826" s="4"/>
      <c r="F826" s="4"/>
    </row>
    <row r="827" spans="5:6" ht="14.25" customHeight="1">
      <c r="E827" s="4"/>
      <c r="F827" s="4"/>
    </row>
    <row r="828" spans="5:6" ht="14.25" customHeight="1">
      <c r="E828" s="4"/>
      <c r="F828" s="4"/>
    </row>
    <row r="829" spans="5:6" ht="14.25" customHeight="1">
      <c r="E829" s="4"/>
      <c r="F829" s="4"/>
    </row>
    <row r="830" spans="5:6" ht="14.25" customHeight="1">
      <c r="E830" s="4"/>
      <c r="F830" s="4"/>
    </row>
    <row r="831" spans="5:6" ht="14.25" customHeight="1">
      <c r="E831" s="4"/>
      <c r="F831" s="4"/>
    </row>
    <row r="832" spans="5:6" ht="14.25" customHeight="1">
      <c r="E832" s="4"/>
      <c r="F832" s="4"/>
    </row>
    <row r="833" spans="5:6" ht="14.25" customHeight="1">
      <c r="E833" s="4"/>
      <c r="F833" s="4"/>
    </row>
    <row r="834" spans="5:6" ht="14.25" customHeight="1">
      <c r="E834" s="4"/>
      <c r="F834" s="4"/>
    </row>
    <row r="835" spans="5:6" ht="14.25" customHeight="1">
      <c r="E835" s="4"/>
      <c r="F835" s="4"/>
    </row>
    <row r="836" spans="5:6" ht="14.25" customHeight="1">
      <c r="E836" s="4"/>
      <c r="F836" s="4"/>
    </row>
    <row r="837" spans="5:6" ht="14.25" customHeight="1">
      <c r="E837" s="4"/>
      <c r="F837" s="4"/>
    </row>
    <row r="838" spans="5:6" ht="14.25" customHeight="1">
      <c r="E838" s="4"/>
      <c r="F838" s="4"/>
    </row>
    <row r="839" spans="5:6" ht="14.25" customHeight="1">
      <c r="E839" s="4"/>
      <c r="F839" s="4"/>
    </row>
    <row r="840" spans="5:6" ht="14.25" customHeight="1">
      <c r="E840" s="4"/>
      <c r="F840" s="4"/>
    </row>
    <row r="841" spans="5:6" ht="14.25" customHeight="1">
      <c r="E841" s="4"/>
      <c r="F841" s="4"/>
    </row>
    <row r="842" spans="5:6" ht="14.25" customHeight="1">
      <c r="E842" s="4"/>
      <c r="F842" s="4"/>
    </row>
    <row r="843" spans="5:6" ht="14.25" customHeight="1">
      <c r="E843" s="4"/>
      <c r="F843" s="4"/>
    </row>
    <row r="844" spans="5:6" ht="14.25" customHeight="1">
      <c r="E844" s="4"/>
      <c r="F844" s="4"/>
    </row>
    <row r="845" spans="5:6" ht="14.25" customHeight="1">
      <c r="E845" s="4"/>
      <c r="F845" s="4"/>
    </row>
    <row r="846" spans="5:6" ht="14.25" customHeight="1">
      <c r="E846" s="4"/>
      <c r="F846" s="4"/>
    </row>
    <row r="847" spans="5:6" ht="14.25" customHeight="1">
      <c r="E847" s="4"/>
      <c r="F847" s="4"/>
    </row>
    <row r="848" spans="5:6" ht="14.25" customHeight="1">
      <c r="E848" s="4"/>
      <c r="F848" s="4"/>
    </row>
    <row r="849" spans="5:6" ht="14.25" customHeight="1">
      <c r="E849" s="4"/>
      <c r="F849" s="4"/>
    </row>
    <row r="850" spans="5:6" ht="14.25" customHeight="1">
      <c r="E850" s="4"/>
      <c r="F850" s="4"/>
    </row>
    <row r="851" spans="5:6" ht="14.25" customHeight="1">
      <c r="E851" s="4"/>
      <c r="F851" s="4"/>
    </row>
    <row r="852" spans="5:6" ht="14.25" customHeight="1">
      <c r="E852" s="4"/>
      <c r="F852" s="4"/>
    </row>
    <row r="853" spans="5:6" ht="14.25" customHeight="1">
      <c r="E853" s="4"/>
      <c r="F853" s="4"/>
    </row>
    <row r="854" spans="5:6" ht="14.25" customHeight="1">
      <c r="E854" s="4"/>
      <c r="F854" s="4"/>
    </row>
    <row r="855" spans="5:6" ht="14.25" customHeight="1">
      <c r="E855" s="4"/>
      <c r="F855" s="4"/>
    </row>
    <row r="856" spans="5:6" ht="14.25" customHeight="1">
      <c r="E856" s="4"/>
      <c r="F856" s="4"/>
    </row>
    <row r="857" spans="5:6" ht="14.25" customHeight="1">
      <c r="E857" s="4"/>
      <c r="F857" s="4"/>
    </row>
    <row r="858" spans="5:6" ht="14.25" customHeight="1">
      <c r="E858" s="4"/>
      <c r="F858" s="4"/>
    </row>
    <row r="859" spans="5:6" ht="14.25" customHeight="1">
      <c r="E859" s="4"/>
      <c r="F859" s="4"/>
    </row>
    <row r="860" spans="5:6" ht="14.25" customHeight="1">
      <c r="E860" s="4"/>
      <c r="F860" s="4"/>
    </row>
    <row r="861" spans="5:6" ht="14.25" customHeight="1">
      <c r="E861" s="4"/>
      <c r="F861" s="4"/>
    </row>
    <row r="862" spans="5:6" ht="14.25" customHeight="1">
      <c r="E862" s="4"/>
      <c r="F862" s="4"/>
    </row>
    <row r="863" spans="5:6" ht="14.25" customHeight="1">
      <c r="E863" s="4"/>
      <c r="F863" s="4"/>
    </row>
    <row r="864" spans="5:6" ht="14.25" customHeight="1">
      <c r="E864" s="4"/>
      <c r="F864" s="4"/>
    </row>
    <row r="865" spans="5:6" ht="14.25" customHeight="1">
      <c r="E865" s="4"/>
      <c r="F865" s="4"/>
    </row>
    <row r="866" spans="5:6" ht="14.25" customHeight="1">
      <c r="E866" s="4"/>
      <c r="F866" s="4"/>
    </row>
    <row r="867" spans="5:6" ht="14.25" customHeight="1">
      <c r="E867" s="4"/>
      <c r="F867" s="4"/>
    </row>
    <row r="868" spans="5:6" ht="14.25" customHeight="1">
      <c r="E868" s="4"/>
      <c r="F868" s="4"/>
    </row>
    <row r="869" spans="5:6" ht="14.25" customHeight="1">
      <c r="E869" s="4"/>
      <c r="F869" s="4"/>
    </row>
    <row r="870" spans="5:6" ht="14.25" customHeight="1">
      <c r="E870" s="4"/>
      <c r="F870" s="4"/>
    </row>
    <row r="871" spans="5:6" ht="14.25" customHeight="1">
      <c r="E871" s="4"/>
      <c r="F871" s="4"/>
    </row>
    <row r="872" spans="5:6" ht="14.25" customHeight="1">
      <c r="E872" s="4"/>
      <c r="F872" s="4"/>
    </row>
    <row r="873" spans="5:6" ht="14.25" customHeight="1">
      <c r="E873" s="4"/>
      <c r="F873" s="4"/>
    </row>
    <row r="874" spans="5:6" ht="14.25" customHeight="1">
      <c r="E874" s="4"/>
      <c r="F874" s="4"/>
    </row>
    <row r="875" spans="5:6" ht="14.25" customHeight="1">
      <c r="E875" s="4"/>
      <c r="F875" s="4"/>
    </row>
    <row r="876" spans="5:6" ht="14.25" customHeight="1">
      <c r="E876" s="4"/>
      <c r="F876" s="4"/>
    </row>
    <row r="877" spans="5:6" ht="14.25" customHeight="1">
      <c r="E877" s="4"/>
      <c r="F877" s="4"/>
    </row>
    <row r="878" spans="5:6" ht="14.25" customHeight="1">
      <c r="E878" s="4"/>
      <c r="F878" s="4"/>
    </row>
    <row r="879" spans="5:6" ht="14.25" customHeight="1">
      <c r="E879" s="4"/>
      <c r="F879" s="4"/>
    </row>
    <row r="880" spans="5:6" ht="14.25" customHeight="1">
      <c r="E880" s="4"/>
      <c r="F880" s="4"/>
    </row>
    <row r="881" spans="5:6" ht="14.25" customHeight="1">
      <c r="E881" s="4"/>
      <c r="F881" s="4"/>
    </row>
    <row r="882" spans="5:6" ht="14.25" customHeight="1">
      <c r="E882" s="4"/>
      <c r="F882" s="4"/>
    </row>
    <row r="883" spans="5:6" ht="14.25" customHeight="1">
      <c r="E883" s="4"/>
      <c r="F883" s="4"/>
    </row>
    <row r="884" spans="5:6" ht="14.25" customHeight="1">
      <c r="E884" s="4"/>
      <c r="F884" s="4"/>
    </row>
    <row r="885" spans="5:6" ht="14.25" customHeight="1">
      <c r="E885" s="4"/>
      <c r="F885" s="4"/>
    </row>
    <row r="886" spans="5:6" ht="14.25" customHeight="1">
      <c r="E886" s="4"/>
      <c r="F886" s="4"/>
    </row>
    <row r="887" spans="5:6" ht="14.25" customHeight="1">
      <c r="E887" s="4"/>
      <c r="F887" s="4"/>
    </row>
    <row r="888" spans="5:6" ht="14.25" customHeight="1">
      <c r="E888" s="4"/>
      <c r="F888" s="4"/>
    </row>
    <row r="889" spans="5:6" ht="14.25" customHeight="1">
      <c r="E889" s="4"/>
      <c r="F889" s="4"/>
    </row>
    <row r="890" spans="5:6" ht="14.25" customHeight="1">
      <c r="E890" s="4"/>
      <c r="F890" s="4"/>
    </row>
    <row r="891" spans="5:6" ht="14.25" customHeight="1">
      <c r="E891" s="4"/>
      <c r="F891" s="4"/>
    </row>
    <row r="892" spans="5:6" ht="14.25" customHeight="1">
      <c r="E892" s="4"/>
      <c r="F892" s="4"/>
    </row>
    <row r="893" spans="5:6" ht="14.25" customHeight="1">
      <c r="E893" s="4"/>
      <c r="F893" s="4"/>
    </row>
    <row r="894" spans="5:6" ht="14.25" customHeight="1">
      <c r="E894" s="4"/>
      <c r="F894" s="4"/>
    </row>
    <row r="895" spans="5:6" ht="14.25" customHeight="1">
      <c r="E895" s="4"/>
      <c r="F895" s="4"/>
    </row>
    <row r="896" spans="5:6" ht="14.25" customHeight="1">
      <c r="E896" s="4"/>
      <c r="F896" s="4"/>
    </row>
    <row r="897" spans="5:6" ht="14.25" customHeight="1">
      <c r="E897" s="4"/>
      <c r="F897" s="4"/>
    </row>
    <row r="898" spans="5:6" ht="14.25" customHeight="1">
      <c r="E898" s="4"/>
      <c r="F898" s="4"/>
    </row>
    <row r="899" spans="5:6" ht="14.25" customHeight="1">
      <c r="E899" s="4"/>
      <c r="F899" s="4"/>
    </row>
    <row r="900" spans="5:6" ht="14.25" customHeight="1">
      <c r="E900" s="4"/>
      <c r="F900" s="4"/>
    </row>
    <row r="901" spans="5:6" ht="14.25" customHeight="1">
      <c r="E901" s="4"/>
      <c r="F901" s="4"/>
    </row>
    <row r="902" spans="5:6" ht="14.25" customHeight="1">
      <c r="E902" s="4"/>
      <c r="F902" s="4"/>
    </row>
    <row r="903" spans="5:6" ht="14.25" customHeight="1">
      <c r="E903" s="4"/>
      <c r="F903" s="4"/>
    </row>
    <row r="904" spans="5:6" ht="14.25" customHeight="1">
      <c r="E904" s="4"/>
      <c r="F904" s="4"/>
    </row>
    <row r="905" spans="5:6" ht="14.25" customHeight="1">
      <c r="E905" s="4"/>
      <c r="F905" s="4"/>
    </row>
    <row r="906" spans="5:6" ht="14.25" customHeight="1">
      <c r="E906" s="4"/>
      <c r="F906" s="4"/>
    </row>
    <row r="907" spans="5:6" ht="14.25" customHeight="1">
      <c r="E907" s="4"/>
      <c r="F907" s="4"/>
    </row>
    <row r="908" spans="5:6" ht="14.25" customHeight="1">
      <c r="E908" s="4"/>
      <c r="F908" s="4"/>
    </row>
    <row r="909" spans="5:6" ht="14.25" customHeight="1">
      <c r="E909" s="4"/>
      <c r="F909" s="4"/>
    </row>
    <row r="910" spans="5:6" ht="14.25" customHeight="1">
      <c r="E910" s="4"/>
      <c r="F910" s="4"/>
    </row>
    <row r="911" spans="5:6" ht="14.25" customHeight="1">
      <c r="E911" s="4"/>
      <c r="F911" s="4"/>
    </row>
    <row r="912" spans="5:6" ht="14.25" customHeight="1">
      <c r="E912" s="4"/>
      <c r="F912" s="4"/>
    </row>
    <row r="913" spans="5:6" ht="14.25" customHeight="1">
      <c r="E913" s="4"/>
      <c r="F913" s="4"/>
    </row>
    <row r="914" spans="5:6" ht="14.25" customHeight="1">
      <c r="E914" s="4"/>
      <c r="F914" s="4"/>
    </row>
    <row r="915" spans="5:6" ht="14.25" customHeight="1">
      <c r="E915" s="4"/>
      <c r="F915" s="4"/>
    </row>
    <row r="916" spans="5:6" ht="14.25" customHeight="1">
      <c r="E916" s="4"/>
      <c r="F916" s="4"/>
    </row>
    <row r="917" spans="5:6" ht="14.25" customHeight="1">
      <c r="E917" s="4"/>
      <c r="F917" s="4"/>
    </row>
    <row r="918" spans="5:6" ht="14.25" customHeight="1">
      <c r="E918" s="4"/>
      <c r="F918" s="4"/>
    </row>
    <row r="919" spans="5:6" ht="14.25" customHeight="1">
      <c r="E919" s="4"/>
      <c r="F919" s="4"/>
    </row>
    <row r="920" spans="5:6" ht="14.25" customHeight="1">
      <c r="E920" s="4"/>
      <c r="F920" s="4"/>
    </row>
    <row r="921" spans="5:6" ht="14.25" customHeight="1">
      <c r="E921" s="4"/>
      <c r="F921" s="4"/>
    </row>
    <row r="922" spans="5:6" ht="14.25" customHeight="1">
      <c r="E922" s="4"/>
      <c r="F922" s="4"/>
    </row>
    <row r="923" spans="5:6" ht="14.25" customHeight="1">
      <c r="E923" s="4"/>
      <c r="F923" s="4"/>
    </row>
    <row r="924" spans="5:6" ht="14.25" customHeight="1">
      <c r="E924" s="4"/>
      <c r="F924" s="4"/>
    </row>
    <row r="925" spans="5:6" ht="14.25" customHeight="1">
      <c r="E925" s="4"/>
      <c r="F925" s="4"/>
    </row>
    <row r="926" spans="5:6" ht="14.25" customHeight="1">
      <c r="E926" s="4"/>
      <c r="F926" s="4"/>
    </row>
    <row r="927" spans="5:6" ht="14.25" customHeight="1">
      <c r="E927" s="4"/>
      <c r="F927" s="4"/>
    </row>
    <row r="928" spans="5:6" ht="14.25" customHeight="1">
      <c r="E928" s="4"/>
      <c r="F928" s="4"/>
    </row>
    <row r="929" spans="5:6" ht="14.25" customHeight="1">
      <c r="E929" s="4"/>
      <c r="F929" s="4"/>
    </row>
    <row r="930" spans="5:6" ht="14.25" customHeight="1">
      <c r="E930" s="4"/>
      <c r="F930" s="4"/>
    </row>
    <row r="931" spans="5:6" ht="14.25" customHeight="1">
      <c r="E931" s="4"/>
      <c r="F931" s="4"/>
    </row>
    <row r="932" spans="5:6" ht="14.25" customHeight="1">
      <c r="E932" s="4"/>
      <c r="F932" s="4"/>
    </row>
    <row r="933" spans="5:6" ht="14.25" customHeight="1">
      <c r="E933" s="4"/>
      <c r="F933" s="4"/>
    </row>
    <row r="934" spans="5:6" ht="14.25" customHeight="1">
      <c r="E934" s="4"/>
      <c r="F934" s="4"/>
    </row>
    <row r="935" spans="5:6" ht="14.25" customHeight="1">
      <c r="E935" s="4"/>
      <c r="F935" s="4"/>
    </row>
    <row r="936" spans="5:6" ht="14.25" customHeight="1">
      <c r="E936" s="4"/>
      <c r="F936" s="4"/>
    </row>
    <row r="937" spans="5:6" ht="14.25" customHeight="1">
      <c r="E937" s="4"/>
      <c r="F937" s="4"/>
    </row>
    <row r="938" spans="5:6" ht="14.25" customHeight="1">
      <c r="E938" s="4"/>
      <c r="F938" s="4"/>
    </row>
    <row r="939" spans="5:6" ht="14.25" customHeight="1">
      <c r="E939" s="4"/>
      <c r="F939" s="4"/>
    </row>
    <row r="940" spans="5:6" ht="14.25" customHeight="1">
      <c r="E940" s="4"/>
      <c r="F940" s="4"/>
    </row>
    <row r="941" spans="5:6" ht="14.25" customHeight="1">
      <c r="E941" s="4"/>
      <c r="F941" s="4"/>
    </row>
    <row r="942" spans="5:6" ht="14.25" customHeight="1">
      <c r="E942" s="4"/>
      <c r="F942" s="4"/>
    </row>
    <row r="943" spans="5:6" ht="14.25" customHeight="1">
      <c r="E943" s="4"/>
      <c r="F943" s="4"/>
    </row>
    <row r="944" spans="5:6" ht="14.25" customHeight="1">
      <c r="E944" s="4"/>
      <c r="F944" s="4"/>
    </row>
    <row r="945" spans="5:6" ht="14.25" customHeight="1">
      <c r="E945" s="4"/>
      <c r="F945" s="4"/>
    </row>
    <row r="946" spans="5:6" ht="14.25" customHeight="1">
      <c r="E946" s="4"/>
      <c r="F946" s="4"/>
    </row>
    <row r="947" spans="5:6" ht="14.25" customHeight="1">
      <c r="E947" s="4"/>
      <c r="F947" s="4"/>
    </row>
    <row r="948" spans="5:6" ht="14.25" customHeight="1">
      <c r="E948" s="4"/>
      <c r="F948" s="4"/>
    </row>
    <row r="949" spans="5:6" ht="14.25" customHeight="1">
      <c r="E949" s="4"/>
      <c r="F949" s="4"/>
    </row>
    <row r="950" spans="5:6" ht="14.25" customHeight="1">
      <c r="E950" s="4"/>
      <c r="F950" s="4"/>
    </row>
    <row r="951" spans="5:6" ht="14.25" customHeight="1">
      <c r="E951" s="4"/>
      <c r="F951" s="4"/>
    </row>
    <row r="952" spans="5:6" ht="14.25" customHeight="1">
      <c r="E952" s="4"/>
      <c r="F952" s="4"/>
    </row>
    <row r="953" spans="5:6" ht="14.25" customHeight="1">
      <c r="E953" s="4"/>
      <c r="F953" s="4"/>
    </row>
    <row r="954" spans="5:6" ht="14.25" customHeight="1">
      <c r="E954" s="4"/>
      <c r="F954" s="4"/>
    </row>
    <row r="955" spans="5:6" ht="14.25" customHeight="1">
      <c r="E955" s="4"/>
      <c r="F955" s="4"/>
    </row>
    <row r="956" spans="5:6" ht="14.25" customHeight="1">
      <c r="E956" s="4"/>
      <c r="F956" s="4"/>
    </row>
    <row r="957" spans="5:6" ht="14.25" customHeight="1">
      <c r="E957" s="4"/>
      <c r="F957" s="4"/>
    </row>
    <row r="958" spans="5:6" ht="14.25" customHeight="1">
      <c r="E958" s="4"/>
      <c r="F958" s="4"/>
    </row>
    <row r="959" spans="5:6" ht="14.25" customHeight="1">
      <c r="E959" s="4"/>
      <c r="F959" s="4"/>
    </row>
    <row r="960" spans="5:6" ht="14.25" customHeight="1">
      <c r="E960" s="4"/>
      <c r="F960" s="4"/>
    </row>
    <row r="961" spans="5:6" ht="14.25" customHeight="1">
      <c r="E961" s="4"/>
      <c r="F961" s="4"/>
    </row>
    <row r="962" spans="5:6" ht="14.25" customHeight="1">
      <c r="E962" s="4"/>
      <c r="F962" s="4"/>
    </row>
    <row r="963" spans="5:6" ht="14.25" customHeight="1">
      <c r="E963" s="4"/>
      <c r="F963" s="4"/>
    </row>
    <row r="964" spans="5:6" ht="14.25" customHeight="1">
      <c r="E964" s="4"/>
      <c r="F964" s="4"/>
    </row>
    <row r="965" spans="5:6" ht="14.25" customHeight="1">
      <c r="E965" s="4"/>
      <c r="F965" s="4"/>
    </row>
    <row r="966" spans="5:6" ht="14.25" customHeight="1">
      <c r="E966" s="4"/>
      <c r="F966" s="4"/>
    </row>
    <row r="967" spans="5:6" ht="14.25" customHeight="1">
      <c r="E967" s="4"/>
      <c r="F967" s="4"/>
    </row>
    <row r="968" spans="5:6" ht="14.25" customHeight="1">
      <c r="E968" s="4"/>
      <c r="F968" s="4"/>
    </row>
    <row r="969" spans="5:6" ht="14.25" customHeight="1">
      <c r="E969" s="4"/>
      <c r="F969" s="4"/>
    </row>
    <row r="970" spans="5:6" ht="14.25" customHeight="1">
      <c r="E970" s="4"/>
      <c r="F970" s="4"/>
    </row>
    <row r="971" spans="5:6" ht="14.25" customHeight="1">
      <c r="E971" s="4"/>
      <c r="F971" s="4"/>
    </row>
    <row r="972" spans="5:6" ht="14.25" customHeight="1">
      <c r="E972" s="4"/>
      <c r="F972" s="4"/>
    </row>
    <row r="973" spans="5:6" ht="14.25" customHeight="1">
      <c r="E973" s="4"/>
      <c r="F973" s="4"/>
    </row>
    <row r="974" spans="5:6" ht="14.25" customHeight="1">
      <c r="E974" s="4"/>
      <c r="F974" s="4"/>
    </row>
    <row r="975" spans="5:6" ht="14.25" customHeight="1">
      <c r="E975" s="4"/>
      <c r="F975" s="4"/>
    </row>
    <row r="976" spans="5:6" ht="14.25" customHeight="1">
      <c r="E976" s="4"/>
      <c r="F976" s="4"/>
    </row>
    <row r="977" spans="5:6" ht="14.25" customHeight="1">
      <c r="E977" s="4"/>
      <c r="F977" s="4"/>
    </row>
    <row r="978" spans="5:6" ht="14.25" customHeight="1">
      <c r="E978" s="4"/>
      <c r="F978" s="4"/>
    </row>
    <row r="979" spans="5:6" ht="14.25" customHeight="1">
      <c r="E979" s="4"/>
      <c r="F979" s="4"/>
    </row>
    <row r="980" spans="5:6" ht="14.25" customHeight="1">
      <c r="E980" s="4"/>
      <c r="F980" s="4"/>
    </row>
    <row r="981" spans="5:6" ht="14.25" customHeight="1">
      <c r="E981" s="4"/>
      <c r="F981" s="4"/>
    </row>
    <row r="982" spans="5:6" ht="14.25" customHeight="1">
      <c r="E982" s="4"/>
      <c r="F982" s="4"/>
    </row>
    <row r="983" spans="5:6" ht="14.25" customHeight="1">
      <c r="E983" s="4"/>
      <c r="F983" s="4"/>
    </row>
    <row r="984" spans="5:6" ht="14.25" customHeight="1">
      <c r="E984" s="4"/>
      <c r="F984" s="4"/>
    </row>
    <row r="985" spans="5:6" ht="14.25" customHeight="1">
      <c r="E985" s="4"/>
      <c r="F985" s="4"/>
    </row>
    <row r="986" spans="5:6" ht="14.25" customHeight="1">
      <c r="E986" s="4"/>
      <c r="F986" s="4"/>
    </row>
    <row r="987" spans="5:6" ht="14.25" customHeight="1">
      <c r="E987" s="4"/>
      <c r="F987" s="4"/>
    </row>
    <row r="988" spans="5:6" ht="14.25" customHeight="1">
      <c r="E988" s="4"/>
      <c r="F988" s="4"/>
    </row>
    <row r="989" spans="5:6" ht="14.25" customHeight="1">
      <c r="E989" s="4"/>
      <c r="F989" s="4"/>
    </row>
    <row r="990" spans="5:6" ht="14.25" customHeight="1">
      <c r="E990" s="4"/>
      <c r="F990" s="4"/>
    </row>
    <row r="991" spans="5:6" ht="14.25" customHeight="1">
      <c r="E991" s="4"/>
      <c r="F991" s="4"/>
    </row>
    <row r="992" spans="5:6" ht="14.25" customHeight="1">
      <c r="E992" s="4"/>
      <c r="F992" s="4"/>
    </row>
    <row r="993" spans="5:6" ht="14.25" customHeight="1">
      <c r="E993" s="4"/>
      <c r="F993" s="4"/>
    </row>
    <row r="994" spans="5:6" ht="14.25" customHeight="1">
      <c r="E994" s="4"/>
      <c r="F994" s="4"/>
    </row>
    <row r="995" spans="5:6" ht="14.25" customHeight="1">
      <c r="E995" s="4"/>
      <c r="F995" s="4"/>
    </row>
    <row r="996" spans="5:6" ht="14.25" customHeight="1">
      <c r="E996" s="4"/>
      <c r="F996" s="4"/>
    </row>
    <row r="997" spans="5:6" ht="14.25" customHeight="1">
      <c r="E997" s="4"/>
      <c r="F997" s="4"/>
    </row>
    <row r="998" spans="5:6" ht="14.25" customHeight="1">
      <c r="E998" s="4"/>
      <c r="F998" s="4"/>
    </row>
    <row r="999" spans="5:6" ht="14.25" customHeight="1">
      <c r="E999" s="4"/>
      <c r="F999" s="4"/>
    </row>
    <row r="1000" spans="5:6" ht="14.25" customHeight="1">
      <c r="E1000" s="4"/>
      <c r="F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00"/>
  <sheetViews>
    <sheetView tabSelected="1" topLeftCell="B1" workbookViewId="0">
      <selection activeCell="E24" sqref="E24"/>
    </sheetView>
  </sheetViews>
  <sheetFormatPr defaultColWidth="14.44140625" defaultRowHeight="15" customHeight="1"/>
  <cols>
    <col min="1" max="2" width="8.6640625" customWidth="1"/>
    <col min="3" max="3" width="5.33203125" customWidth="1"/>
    <col min="4" max="4" width="107.6640625" customWidth="1"/>
    <col min="5" max="5" width="33.33203125" customWidth="1"/>
    <col min="6" max="7" width="8.6640625" customWidth="1"/>
    <col min="8" max="8" width="12.5546875" customWidth="1"/>
    <col min="9" max="9" width="18.33203125" customWidth="1"/>
    <col min="10" max="26" width="8.6640625" customWidth="1"/>
  </cols>
  <sheetData>
    <row r="1" spans="3:9" ht="14.25" customHeight="1"/>
    <row r="2" spans="3:9" ht="14.25" customHeight="1">
      <c r="H2" s="3" t="s">
        <v>224</v>
      </c>
    </row>
    <row r="3" spans="3:9" ht="14.25" customHeight="1">
      <c r="C3" s="5" t="s">
        <v>225</v>
      </c>
      <c r="D3" s="5" t="s">
        <v>226</v>
      </c>
      <c r="E3" s="6" t="s">
        <v>227</v>
      </c>
      <c r="H3" s="7" t="s">
        <v>228</v>
      </c>
      <c r="I3" s="3" t="s">
        <v>229</v>
      </c>
    </row>
    <row r="4" spans="3:9" ht="14.25" customHeight="1">
      <c r="C4" s="8">
        <v>1</v>
      </c>
      <c r="D4" s="9" t="s">
        <v>230</v>
      </c>
      <c r="E4" s="10">
        <f>COUNTA(Sheet1!B2:B211)</f>
        <v>210</v>
      </c>
      <c r="H4" s="11" t="s">
        <v>20</v>
      </c>
      <c r="I4" s="12">
        <v>35</v>
      </c>
    </row>
    <row r="5" spans="3:9" ht="14.25" customHeight="1">
      <c r="C5" s="8">
        <v>2</v>
      </c>
      <c r="D5" s="13" t="s">
        <v>231</v>
      </c>
      <c r="E5" s="14">
        <f>SUM(Sheet1!F2:F211)</f>
        <v>82424.12000000001</v>
      </c>
      <c r="H5" s="15" t="s">
        <v>7</v>
      </c>
      <c r="I5" s="7">
        <v>31</v>
      </c>
    </row>
    <row r="6" spans="3:9" ht="14.25" customHeight="1">
      <c r="C6" s="8">
        <v>3</v>
      </c>
      <c r="D6" s="13" t="s">
        <v>232</v>
      </c>
      <c r="E6" s="14">
        <f>AVERAGE(Sheet1!E2:E211)</f>
        <v>156.24566666666675</v>
      </c>
      <c r="H6" s="15" t="s">
        <v>13</v>
      </c>
      <c r="I6" s="7">
        <v>28</v>
      </c>
    </row>
    <row r="7" spans="3:9" ht="14.25" customHeight="1">
      <c r="C7" s="8">
        <v>4</v>
      </c>
      <c r="D7" s="13" t="s">
        <v>233</v>
      </c>
      <c r="E7" s="14">
        <f>MAX(Sheet1!F2:F211)</f>
        <v>940.5</v>
      </c>
      <c r="H7" s="15" t="s">
        <v>16</v>
      </c>
      <c r="I7" s="7">
        <v>28</v>
      </c>
    </row>
    <row r="8" spans="3:9" ht="14.25" customHeight="1">
      <c r="C8" s="8">
        <v>5</v>
      </c>
      <c r="D8" s="13" t="s">
        <v>234</v>
      </c>
      <c r="E8" s="14">
        <f>MIN(Sheet1!E2:E211)</f>
        <v>50.18</v>
      </c>
      <c r="H8" s="15" t="s">
        <v>9</v>
      </c>
      <c r="I8" s="7">
        <v>27</v>
      </c>
    </row>
    <row r="9" spans="3:9" ht="14.25" customHeight="1">
      <c r="C9" s="8">
        <v>6</v>
      </c>
      <c r="D9" s="13" t="s">
        <v>235</v>
      </c>
      <c r="E9">
        <f>COUNTIF(Sheet1!C2:C211,"Drama")</f>
        <v>28</v>
      </c>
      <c r="H9" s="15" t="s">
        <v>28</v>
      </c>
      <c r="I9" s="7">
        <v>22</v>
      </c>
    </row>
    <row r="10" spans="3:9" ht="14.25" customHeight="1">
      <c r="C10" s="8">
        <v>7</v>
      </c>
      <c r="D10" s="13" t="s">
        <v>245</v>
      </c>
      <c r="E10" s="14" t="str" cm="1">
        <f t="array" ref="E10">INDEX(Sheet1!C2:C211,MODE(MATCH(Sheet1!C2:C211,Sheet1!C2:C211,0)))</f>
        <v>Comedy</v>
      </c>
      <c r="H10" s="15" t="s">
        <v>25</v>
      </c>
      <c r="I10" s="7">
        <v>20</v>
      </c>
    </row>
    <row r="11" spans="3:9" ht="14.25" customHeight="1">
      <c r="C11" s="8">
        <v>8</v>
      </c>
      <c r="D11" s="13" t="s">
        <v>236</v>
      </c>
      <c r="E11" s="14">
        <f>AVERAGEIF(Sheet1!D2:D211,2023, Sheet1!F2:F211)</f>
        <v>402.7538461538461</v>
      </c>
      <c r="H11" s="15" t="s">
        <v>31</v>
      </c>
      <c r="I11" s="7">
        <v>19</v>
      </c>
    </row>
    <row r="12" spans="3:9" ht="14.25" customHeight="1">
      <c r="C12" s="8">
        <v>9</v>
      </c>
      <c r="D12" s="13" t="s">
        <v>237</v>
      </c>
      <c r="E12" s="10">
        <f>AVERAGEIF(Sheet1!D2:D211,2023,Sheet1!F2:F211)</f>
        <v>402.7538461538461</v>
      </c>
      <c r="H12" s="15" t="s">
        <v>238</v>
      </c>
      <c r="I12" s="7">
        <v>210</v>
      </c>
    </row>
    <row r="13" spans="3:9" ht="13.8" customHeight="1">
      <c r="C13" s="8">
        <v>10</v>
      </c>
      <c r="D13" s="13" t="s">
        <v>239</v>
      </c>
      <c r="E13" s="10" t="str">
        <f>INDEX(Sheet1!B2:B211,MATCH(MAX(Sheet1!F2:F211),Sheet1!F2:F211,0))</f>
        <v>Sharable client-driven alliance</v>
      </c>
    </row>
    <row r="14" spans="3:9" ht="27" customHeight="1">
      <c r="C14" s="8">
        <v>11</v>
      </c>
      <c r="D14" s="13" t="s">
        <v>240</v>
      </c>
      <c r="E14" s="10" t="str">
        <f>INDEX(Sheet1!B2:B211,MATCH(MIN(Sheet1!F2:F211),Sheet1!F2:F211,0))</f>
        <v>Pre-emptive user-facing pricing structure</v>
      </c>
    </row>
    <row r="15" spans="3:9" ht="14.25" customHeight="1">
      <c r="C15" s="8">
        <v>12</v>
      </c>
      <c r="D15" s="13" t="s">
        <v>241</v>
      </c>
      <c r="E15" s="10">
        <f>LARGE(Sheet1!F2:F211,3)</f>
        <v>897.61</v>
      </c>
    </row>
    <row r="16" spans="3:9" ht="14.25" customHeight="1">
      <c r="C16" s="8">
        <v>13</v>
      </c>
      <c r="D16" s="13" t="s">
        <v>242</v>
      </c>
      <c r="E16" s="10">
        <f>SMALL(Sheet1!E2:E211,5)</f>
        <v>55.24</v>
      </c>
    </row>
    <row r="17" spans="3:5" ht="14.25" customHeight="1">
      <c r="C17" s="8">
        <v>14</v>
      </c>
      <c r="D17" s="13" t="s">
        <v>243</v>
      </c>
      <c r="E17" s="14">
        <f>MAX(Sheet1!F2:F211)-MIN(Sheet1!F2:F211)</f>
        <v>860.95</v>
      </c>
    </row>
    <row r="18" spans="3:5" ht="14.25" customHeight="1">
      <c r="C18" s="16">
        <v>15</v>
      </c>
      <c r="D18" s="17" t="s">
        <v>244</v>
      </c>
      <c r="E18" s="18">
        <f>MAX(Sheet1!E2:E211)-MIN(Sheet1!E2:E211)</f>
        <v>199.29</v>
      </c>
    </row>
    <row r="19" spans="3:5" ht="14.25" customHeight="1"/>
    <row r="20" spans="3:5" ht="14.25" customHeight="1"/>
    <row r="21" spans="3:5" ht="14.25" customHeight="1"/>
    <row r="22" spans="3:5" ht="14.25" customHeight="1"/>
    <row r="23" spans="3:5" ht="14.25" customHeight="1"/>
    <row r="24" spans="3:5" ht="14.25" customHeight="1"/>
    <row r="25" spans="3:5" ht="14.25" customHeight="1">
      <c r="C25" s="19"/>
      <c r="D25" s="19"/>
    </row>
    <row r="26" spans="3:5" ht="14.25" customHeight="1">
      <c r="C26" s="20"/>
      <c r="D26" s="20"/>
    </row>
    <row r="27" spans="3:5" ht="14.25" customHeight="1">
      <c r="C27" s="20"/>
      <c r="D27" s="20"/>
    </row>
    <row r="28" spans="3:5" ht="14.25" customHeight="1">
      <c r="C28" s="20"/>
      <c r="D28" s="20"/>
    </row>
    <row r="29" spans="3:5" ht="14.25" customHeight="1">
      <c r="C29" s="20"/>
      <c r="D29" s="20"/>
    </row>
    <row r="30" spans="3:5" ht="14.25" customHeight="1">
      <c r="C30" s="20"/>
      <c r="D30" s="20"/>
    </row>
    <row r="31" spans="3:5" ht="14.25" customHeight="1">
      <c r="C31" s="20"/>
      <c r="D31" s="20"/>
    </row>
    <row r="32" spans="3:5" ht="14.25" customHeight="1">
      <c r="C32" s="20"/>
      <c r="D32" s="20"/>
    </row>
    <row r="33" spans="3:4" ht="14.25" customHeight="1">
      <c r="C33" s="20"/>
      <c r="D33" s="20"/>
    </row>
    <row r="34" spans="3:4" ht="14.25" customHeight="1">
      <c r="C34" s="20"/>
      <c r="D34" s="20"/>
    </row>
    <row r="35" spans="3:4" ht="14.25" customHeight="1">
      <c r="C35" s="20"/>
      <c r="D35" s="20"/>
    </row>
    <row r="36" spans="3:4" ht="14.25" customHeight="1">
      <c r="C36" s="20"/>
      <c r="D36" s="20"/>
    </row>
    <row r="37" spans="3:4" ht="14.25" customHeight="1">
      <c r="C37" s="20"/>
      <c r="D37" s="20"/>
    </row>
    <row r="38" spans="3:4" ht="14.25" customHeight="1">
      <c r="C38" s="20"/>
      <c r="D38" s="20"/>
    </row>
    <row r="39" spans="3:4" ht="14.25" customHeight="1">
      <c r="C39" s="20"/>
      <c r="D39" s="20"/>
    </row>
    <row r="40" spans="3:4" ht="14.25" customHeight="1">
      <c r="C40" s="20"/>
      <c r="D40" s="20"/>
    </row>
    <row r="41" spans="3:4" ht="14.25" customHeight="1"/>
    <row r="42" spans="3:4" ht="14.25" customHeight="1"/>
    <row r="43" spans="3:4" ht="14.25" customHeight="1"/>
    <row r="44" spans="3:4" ht="14.25" customHeight="1"/>
    <row r="45" spans="3:4" ht="14.25" customHeight="1"/>
    <row r="46" spans="3:4" ht="14.25" customHeight="1"/>
    <row r="47" spans="3:4" ht="14.25" customHeight="1"/>
    <row r="48" spans="3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2025-07-22T06:09:39Z</dcterms:created>
  <dcterms:modified xsi:type="dcterms:W3CDTF">2025-11-04T08:48:05Z</dcterms:modified>
</cp:coreProperties>
</file>