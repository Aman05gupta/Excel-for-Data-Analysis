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ssignments\Excel_work\"/>
    </mc:Choice>
  </mc:AlternateContent>
  <xr:revisionPtr revIDLastSave="0" documentId="13_ncr:1_{1B594B9C-C4A2-4D24-803B-2FDFD1EE70F3}" xr6:coauthVersionLast="47" xr6:coauthVersionMax="47" xr10:uidLastSave="{00000000-0000-0000-0000-000000000000}"/>
  <bookViews>
    <workbookView minimized="1" xWindow="2208" yWindow="3156" windowWidth="17280" windowHeight="9420" xr2:uid="{00000000-000D-0000-FFFF-FFFF00000000}"/>
  </bookViews>
  <sheets>
    <sheet name="Dataset" sheetId="1" r:id="rId1"/>
    <sheet name="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2" i="1" l="1"/>
  <c r="S3" i="1"/>
  <c r="S4" i="1"/>
  <c r="S5" i="1"/>
  <c r="S6" i="1"/>
  <c r="S7" i="1"/>
  <c r="S8" i="1"/>
  <c r="S9" i="1"/>
  <c r="S10" i="1"/>
  <c r="S11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S2" i="1"/>
  <c r="R2" i="1"/>
  <c r="I2" i="1" a="1"/>
  <c r="I2" i="1" s="1"/>
  <c r="W2" i="1" a="1"/>
  <c r="W2" i="1" s="1"/>
  <c r="V2" i="1" a="1"/>
  <c r="V2" i="1" s="1"/>
  <c r="U2" i="1" a="1"/>
  <c r="U2" i="1" s="1"/>
  <c r="T2" i="1" a="1"/>
  <c r="T2" i="1" s="1"/>
  <c r="Q2" i="1" a="1"/>
  <c r="Q2" i="1" s="1"/>
  <c r="P2" i="1" a="1"/>
  <c r="P2" i="1" s="1"/>
  <c r="O2" i="1" a="1"/>
  <c r="O2" i="1" s="1"/>
  <c r="N2" i="1" a="1"/>
  <c r="N2" i="1" s="1"/>
  <c r="M2" i="1" a="1"/>
  <c r="M2" i="1" s="1"/>
  <c r="L2" i="1" a="1"/>
  <c r="L2" i="1" s="1"/>
  <c r="K2" i="1" a="1"/>
  <c r="K2" i="1" s="1"/>
  <c r="J2" i="1" a="1"/>
  <c r="J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<sst xmlns="http://schemas.openxmlformats.org/spreadsheetml/2006/main" count="1232" uniqueCount="454">
  <si>
    <t>Emp ID</t>
  </si>
  <si>
    <t>Name</t>
  </si>
  <si>
    <t>Department</t>
  </si>
  <si>
    <t>Employment Type</t>
  </si>
  <si>
    <t>Years of Experience</t>
  </si>
  <si>
    <t>Location</t>
  </si>
  <si>
    <t>Base Salary</t>
  </si>
  <si>
    <t>Bonus Eligible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</si>
  <si>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</si>
  <si>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</si>
  <si>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</si>
  <si>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</si>
  <si>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</si>
  <si>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</si>
  <si>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</si>
  <si>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</si>
  <si>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</si>
  <si>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</si>
  <si>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</si>
  <si>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</si>
  <si>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</si>
  <si>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</si>
  <si>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</si>
  <si>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</si>
  <si>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</si>
  <si>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</si>
  <si>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</si>
  <si>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</si>
  <si>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</si>
  <si>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</si>
  <si>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</si>
  <si>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</si>
  <si>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</si>
  <si>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</si>
  <si>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</si>
  <si>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</si>
  <si>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</si>
  <si>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</si>
  <si>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</si>
  <si>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</si>
  <si>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</si>
  <si>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</si>
  <si>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</si>
  <si>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</si>
  <si>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</si>
  <si>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</si>
  <si>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</si>
  <si>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</si>
  <si>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</si>
  <si>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</si>
  <si>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</si>
  <si>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</si>
  <si>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</si>
  <si>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</si>
  <si>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</si>
  <si>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</si>
  <si>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</si>
  <si>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</si>
  <si>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</si>
  <si>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</si>
  <si>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</si>
  <si>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</si>
  <si>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</si>
  <si>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</si>
  <si>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</si>
  <si>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</si>
  <si>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</si>
  <si>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</si>
  <si>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</si>
  <si>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</si>
  <si>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</si>
  <si>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</si>
  <si>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</si>
  <si>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</si>
  <si>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</si>
  <si>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</si>
  <si>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</si>
  <si>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</si>
  <si>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</si>
  <si>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</si>
  <si>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</si>
  <si>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</si>
  <si>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</si>
  <si>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</si>
  <si>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</si>
  <si>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</si>
  <si>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</si>
  <si>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</si>
  <si>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</si>
  <si>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</si>
  <si>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</si>
  <si>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</si>
  <si>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</si>
  <si>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</si>
  <si>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</si>
  <si>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</si>
  <si>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</si>
  <si>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</si>
  <si>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</si>
  <si>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</si>
  <si>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</si>
  <si>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</si>
  <si>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</si>
  <si>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</si>
  <si>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</si>
  <si>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</si>
  <si>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</si>
  <si>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</si>
  <si>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</si>
  <si>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</si>
  <si>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</si>
  <si>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</si>
  <si>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</si>
  <si>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</si>
  <si>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</si>
  <si>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</si>
  <si>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</si>
  <si>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</si>
  <si>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</si>
  <si>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</si>
  <si>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</si>
  <si>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</si>
  <si>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</si>
  <si>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</si>
  <si>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</si>
  <si>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</si>
  <si>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</si>
  <si>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</si>
  <si>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</si>
  <si>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</si>
  <si>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</si>
  <si>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</si>
  <si>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</si>
  <si>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</si>
  <si>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</si>
  <si>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</si>
  <si>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</si>
  <si>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</si>
  <si>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</si>
  <si>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</si>
  <si>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</si>
  <si>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</si>
  <si>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</si>
  <si>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</si>
  <si>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</si>
  <si>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</si>
  <si>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</si>
  <si>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</si>
  <si>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</si>
  <si>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</si>
  <si>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</si>
  <si>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</si>
  <si>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</si>
  <si>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</si>
  <si>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</si>
  <si>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</si>
  <si>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</si>
  <si>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</si>
  <si>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</si>
  <si>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</si>
  <si>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</si>
  <si>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</si>
  <si>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</si>
  <si>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</si>
  <si>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</si>
  <si>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</si>
  <si>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</si>
  <si>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</si>
  <si>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</si>
  <si>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</si>
  <si>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</si>
  <si>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</si>
  <si>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</si>
  <si>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</si>
  <si>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</si>
  <si>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</si>
  <si>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</si>
  <si>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</si>
  <si>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</si>
  <si>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</si>
  <si>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</si>
  <si>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</si>
  <si>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</si>
  <si>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</si>
  <si>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</si>
  <si>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</si>
  <si>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</si>
  <si>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</si>
  <si>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</si>
  <si>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</si>
  <si>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</si>
  <si>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</si>
  <si>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</si>
  <si>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</si>
  <si>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</si>
  <si>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</si>
  <si>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</si>
  <si>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</si>
  <si>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</si>
  <si>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</si>
  <si>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</si>
  <si>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</si>
  <si>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</si>
  <si>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</si>
  <si>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</si>
  <si>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</si>
  <si>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</si>
  <si>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</si>
  <si>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</si>
  <si>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</si>
  <si>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</si>
  <si>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</si>
  <si>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</si>
  <si>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</si>
  <si>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</si>
  <si>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</si>
  <si>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</si>
  <si>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</si>
  <si>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</si>
  <si>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</si>
  <si>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</si>
  <si>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</si>
  <si>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</si>
  <si>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</si>
  <si>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</si>
  <si>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</si>
  <si>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</si>
  <si>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</si>
  <si>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</si>
  <si>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</si>
  <si>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</si>
  <si>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</si>
  <si>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</si>
  <si>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</si>
  <si>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</si>
  <si>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</si>
  <si>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</si>
  <si>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</si>
  <si>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</si>
  <si>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</si>
  <si>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</si>
  <si>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</si>
  <si>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</si>
  <si>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</si>
  <si>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</si>
  <si>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</si>
  <si>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</si>
  <si>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</si>
  <si>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</si>
  <si>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</si>
  <si>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</si>
  <si>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</si>
  <si>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</si>
  <si>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</si>
  <si>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</si>
  <si>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</si>
  <si>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</si>
  <si>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</si>
  <si>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Employee 51</t>
  </si>
  <si>
    <t>Employee 52</t>
  </si>
  <si>
    <t>Employee 53</t>
  </si>
  <si>
    <t>Employee 54</t>
  </si>
  <si>
    <t>Employee 55</t>
  </si>
  <si>
    <t>Employee 56</t>
  </si>
  <si>
    <t>Employee 57</t>
  </si>
  <si>
    <t>Employee 58</t>
  </si>
  <si>
    <t>Employee 59</t>
  </si>
  <si>
    <t>Employee 60</t>
  </si>
  <si>
    <t>Employee 61</t>
  </si>
  <si>
    <t>Employee 62</t>
  </si>
  <si>
    <t>Employee 63</t>
  </si>
  <si>
    <t>Employee 64</t>
  </si>
  <si>
    <t>Employee 65</t>
  </si>
  <si>
    <t>Employee 66</t>
  </si>
  <si>
    <t>Employee 67</t>
  </si>
  <si>
    <t>Employee 68</t>
  </si>
  <si>
    <t>Employee 69</t>
  </si>
  <si>
    <t>Employee 70</t>
  </si>
  <si>
    <t>Employee 71</t>
  </si>
  <si>
    <t>Employee 72</t>
  </si>
  <si>
    <t>Employee 73</t>
  </si>
  <si>
    <t>Employee 74</t>
  </si>
  <si>
    <t>Employee 75</t>
  </si>
  <si>
    <t>Employee 76</t>
  </si>
  <si>
    <t>Employee 77</t>
  </si>
  <si>
    <t>Employee 78</t>
  </si>
  <si>
    <t>Employee 79</t>
  </si>
  <si>
    <t>Employee 80</t>
  </si>
  <si>
    <t>Employee 81</t>
  </si>
  <si>
    <t>Employee 82</t>
  </si>
  <si>
    <t>Employee 83</t>
  </si>
  <si>
    <t>Employee 84</t>
  </si>
  <si>
    <t>Employee 85</t>
  </si>
  <si>
    <t>Employee 86</t>
  </si>
  <si>
    <t>Employee 87</t>
  </si>
  <si>
    <t>Employee 88</t>
  </si>
  <si>
    <t>Employee 89</t>
  </si>
  <si>
    <t>Employee 90</t>
  </si>
  <si>
    <t>Employee 91</t>
  </si>
  <si>
    <t>Employee 92</t>
  </si>
  <si>
    <t>Employee 93</t>
  </si>
  <si>
    <t>Employee 94</t>
  </si>
  <si>
    <t>Employee 95</t>
  </si>
  <si>
    <t>Employee 96</t>
  </si>
  <si>
    <t>Employee 97</t>
  </si>
  <si>
    <t>Employee 98</t>
  </si>
  <si>
    <t>Employee 99</t>
  </si>
  <si>
    <t>Employee 100</t>
  </si>
  <si>
    <t>Employee 101</t>
  </si>
  <si>
    <t>Employee 102</t>
  </si>
  <si>
    <t>Employee 103</t>
  </si>
  <si>
    <t>Employee 104</t>
  </si>
  <si>
    <t>Employee 105</t>
  </si>
  <si>
    <t>Employee 106</t>
  </si>
  <si>
    <t>Employee 107</t>
  </si>
  <si>
    <t>Employee 108</t>
  </si>
  <si>
    <t>Employee 109</t>
  </si>
  <si>
    <t>Employee 110</t>
  </si>
  <si>
    <t>Employee 111</t>
  </si>
  <si>
    <t>Employee 112</t>
  </si>
  <si>
    <t>Employee 113</t>
  </si>
  <si>
    <t>Employee 114</t>
  </si>
  <si>
    <t>Employee 115</t>
  </si>
  <si>
    <t>Employee 116</t>
  </si>
  <si>
    <t>Employee 117</t>
  </si>
  <si>
    <t>Employee 118</t>
  </si>
  <si>
    <t>Employee 119</t>
  </si>
  <si>
    <t>Employee 120</t>
  </si>
  <si>
    <t>Employee 121</t>
  </si>
  <si>
    <t>Employee 122</t>
  </si>
  <si>
    <t>Employee 123</t>
  </si>
  <si>
    <t>Employee 124</t>
  </si>
  <si>
    <t>Employee 125</t>
  </si>
  <si>
    <t>Employee 126</t>
  </si>
  <si>
    <t>Employee 127</t>
  </si>
  <si>
    <t>Employee 128</t>
  </si>
  <si>
    <t>Employee 129</t>
  </si>
  <si>
    <t>Employee 130</t>
  </si>
  <si>
    <t>Employee 131</t>
  </si>
  <si>
    <t>Employee 132</t>
  </si>
  <si>
    <t>Employee 133</t>
  </si>
  <si>
    <t>Employee 134</t>
  </si>
  <si>
    <t>Employee 135</t>
  </si>
  <si>
    <t>Employee 136</t>
  </si>
  <si>
    <t>Employee 137</t>
  </si>
  <si>
    <t>Employee 138</t>
  </si>
  <si>
    <t>Employee 139</t>
  </si>
  <si>
    <t>Employee 140</t>
  </si>
  <si>
    <t>Employee 141</t>
  </si>
  <si>
    <t>Employee 142</t>
  </si>
  <si>
    <t>Employee 143</t>
  </si>
  <si>
    <t>Employee 144</t>
  </si>
  <si>
    <t>Employee 145</t>
  </si>
  <si>
    <t>Employee 146</t>
  </si>
  <si>
    <t>Employee 147</t>
  </si>
  <si>
    <t>Employee 148</t>
  </si>
  <si>
    <t>Employee 149</t>
  </si>
  <si>
    <t>Employee 150</t>
  </si>
  <si>
    <t>Employee 151</t>
  </si>
  <si>
    <t>Employee 152</t>
  </si>
  <si>
    <t>Employee 153</t>
  </si>
  <si>
    <t>Employee 154</t>
  </si>
  <si>
    <t>Employee 155</t>
  </si>
  <si>
    <t>Employee 156</t>
  </si>
  <si>
    <t>Employee 157</t>
  </si>
  <si>
    <t>Employee 158</t>
  </si>
  <si>
    <t>Employee 159</t>
  </si>
  <si>
    <t>Employee 160</t>
  </si>
  <si>
    <t>Employee 161</t>
  </si>
  <si>
    <t>Employee 162</t>
  </si>
  <si>
    <t>Employee 163</t>
  </si>
  <si>
    <t>Employee 164</t>
  </si>
  <si>
    <t>Employee 165</t>
  </si>
  <si>
    <t>Employee 166</t>
  </si>
  <si>
    <t>Employee 167</t>
  </si>
  <si>
    <t>Employee 168</t>
  </si>
  <si>
    <t>Employee 169</t>
  </si>
  <si>
    <t>Employee 170</t>
  </si>
  <si>
    <t>Employee 171</t>
  </si>
  <si>
    <t>Employee 172</t>
  </si>
  <si>
    <t>Employee 173</t>
  </si>
  <si>
    <t>Employee 174</t>
  </si>
  <si>
    <t>Employee 175</t>
  </si>
  <si>
    <t>Employee 176</t>
  </si>
  <si>
    <t>Employee 177</t>
  </si>
  <si>
    <t>Employee 178</t>
  </si>
  <si>
    <t>Employee 179</t>
  </si>
  <si>
    <t>Employee 180</t>
  </si>
  <si>
    <t>Employee 181</t>
  </si>
  <si>
    <t>Employee 182</t>
  </si>
  <si>
    <t>Employee 183</t>
  </si>
  <si>
    <t>Employee 184</t>
  </si>
  <si>
    <t>Employee 185</t>
  </si>
  <si>
    <t>Employee 186</t>
  </si>
  <si>
    <t>Employee 187</t>
  </si>
  <si>
    <t>Employee 188</t>
  </si>
  <si>
    <t>Employee 189</t>
  </si>
  <si>
    <t>Employee 190</t>
  </si>
  <si>
    <t>Employee 191</t>
  </si>
  <si>
    <t>Employee 192</t>
  </si>
  <si>
    <t>Employee 193</t>
  </si>
  <si>
    <t>Employee 194</t>
  </si>
  <si>
    <t>Employee 195</t>
  </si>
  <si>
    <t>Employee 196</t>
  </si>
  <si>
    <t>Employee 197</t>
  </si>
  <si>
    <t>Employee 198</t>
  </si>
  <si>
    <t>Employee 199</t>
  </si>
  <si>
    <t>Employee 200</t>
  </si>
  <si>
    <t>Sales</t>
  </si>
  <si>
    <t>IT</t>
  </si>
  <si>
    <t>HR</t>
  </si>
  <si>
    <t>Finance</t>
  </si>
  <si>
    <t>Marketing</t>
  </si>
  <si>
    <t>Contract</t>
  </si>
  <si>
    <t>Permanent</t>
  </si>
  <si>
    <t>Bangalore</t>
  </si>
  <si>
    <t>Pune</t>
  </si>
  <si>
    <t>Delhi</t>
  </si>
  <si>
    <t>Hyderabad</t>
  </si>
  <si>
    <t>Mumbai</t>
  </si>
  <si>
    <t>No</t>
  </si>
  <si>
    <t>Yes</t>
  </si>
  <si>
    <t>Label employees as "Senior Permanent" if they are permanent and have more than 5 years of experience. Otherwise, label them as "Other".</t>
  </si>
  <si>
    <t>Identify employees who are either from the Sales department or based in Delhi. Mark them as "Target Role", and others as "General".</t>
  </si>
  <si>
    <t>Check each employee’s base salary and label them as "High Earner" if their salary is above ₹1,00,000. Otherwise, label them as "Regular".</t>
  </si>
  <si>
    <t>Some bonus eligibility data might be missing. Mark such rows as "Pending Info", and others as "OK".</t>
  </si>
  <si>
    <t>Identify whether each employee is located in a metro city (Mumbai, Delhi, or Bangalore). Label them as "Metro" or "Non-Metro".</t>
  </si>
  <si>
    <t>Find out how many employees in the company are eligible for a bonus.</t>
  </si>
  <si>
    <t>Count how many employees are permanent and earn more than ₹75,000.</t>
  </si>
  <si>
    <t>Calculate a bonus amount for each employee. Those marked "Yes" in the Bonus column should receive 20% of their base salary; others should get 0.</t>
  </si>
  <si>
    <t>Create a column showing salary information as a tag. For example, an employee with ₹75,000 salary should be tagged as "Earning ₹75k".</t>
  </si>
  <si>
    <t>For each employee, divide their salary by their years of experience. If there’s an error (like dividing by zero), show "Check Data".</t>
  </si>
  <si>
    <t>Mark employees as "Promotable" if they have at least 10 years of experience and earn at least ₹90,000. Others should be labeled as "Review".</t>
  </si>
  <si>
    <t>Question</t>
  </si>
  <si>
    <t>Determine whether each employee is eligible for a bonus based on the "Bonus Eligible" column. Show "Eligible" or "Not Eligible".</t>
  </si>
  <si>
    <t>Create a column that marks employees as "Experienced" if they have more than 10 years of experience or if their salary is above ₹90,000. Otherwise, mark them as "Junior".</t>
  </si>
  <si>
    <t>Identify employees who are on a contract and earn less than ₹40,000. Label them as "Low-Pay Contract", others as "Standard".</t>
  </si>
  <si>
    <t>Based on years of experience, label employees as "Long-Term" if they have worked more than 15 years. Otherwise, label them as "Mid/Short-Term".</t>
  </si>
  <si>
    <t>Q1:</t>
  </si>
  <si>
    <t>Q2:</t>
  </si>
  <si>
    <t>Q3:</t>
  </si>
  <si>
    <t>Q4:</t>
  </si>
  <si>
    <t>Q5:</t>
  </si>
  <si>
    <t>Q6:</t>
  </si>
  <si>
    <t>Q7:</t>
  </si>
  <si>
    <t>Q8:</t>
  </si>
  <si>
    <t>Q9:</t>
  </si>
  <si>
    <t>Q10:</t>
  </si>
  <si>
    <t>Q11:</t>
  </si>
  <si>
    <t>Q12:</t>
  </si>
  <si>
    <t>Q13:</t>
  </si>
  <si>
    <t>Q14:</t>
  </si>
  <si>
    <t>Q15: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</si>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</sst>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3"/>
  <sheetViews>
    <sheetView tabSelected="1" topLeftCell="F1" workbookViewId="0">
      <selection activeCell="T7" sqref="T7"/>
    </sheetView>
  </sheetViews>
  <sheetFormatPr defaultRowHeight="14.4" x14ac:dyDescent="0.3"/>
  <cols>
    <col min="1" max="1" width="7" bestFit="1" customWidth="1"/>
    <col min="2" max="2" width="12.44140625" bestFit="1" customWidth="1"/>
    <col min="3" max="3" width="11.109375" bestFit="1" customWidth="1"/>
    <col min="4" max="4" width="16.44140625" bestFit="1" customWidth="1"/>
    <col min="5" max="5" width="17.44140625" bestFit="1" customWidth="1"/>
    <col min="6" max="6" width="9.77734375" bestFit="1" customWidth="1"/>
    <col min="7" max="7" width="10.44140625" bestFit="1" customWidth="1"/>
    <col min="8" max="8" width="12.5546875" bestFit="1" customWidth="1"/>
    <col min="9" max="9" width="14.33203125" customWidth="1"/>
    <col min="10" max="10" width="20" customWidth="1"/>
    <col min="11" max="11" width="15" customWidth="1"/>
    <col min="12" max="12" width="13.88671875" customWidth="1"/>
    <col min="13" max="13" width="14" customWidth="1"/>
    <col min="14" max="14" width="13.6640625" customWidth="1"/>
    <col min="15" max="15" width="13.77734375" customWidth="1"/>
    <col min="16" max="16" width="18.33203125" customWidth="1"/>
    <col min="17" max="17" width="17.44140625" customWidth="1"/>
    <col min="21" max="21" width="12.33203125" bestFit="1" customWidth="1"/>
    <col min="23" max="23" width="10.5546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438</v>
      </c>
      <c r="J1" s="9" t="s">
        <v>439</v>
      </c>
      <c r="K1" s="9" t="s">
        <v>440</v>
      </c>
      <c r="L1" s="9" t="s">
        <v>441</v>
      </c>
      <c r="M1" s="9" t="s">
        <v>442</v>
      </c>
      <c r="N1" s="9" t="s">
        <v>443</v>
      </c>
      <c r="O1" s="9" t="s">
        <v>444</v>
      </c>
      <c r="P1" s="9" t="s">
        <v>445</v>
      </c>
      <c r="Q1" s="9" t="s">
        <v>446</v>
      </c>
      <c r="R1" s="9" t="s">
        <v>447</v>
      </c>
      <c r="S1" s="9" t="s">
        <v>448</v>
      </c>
      <c r="T1" s="9" t="s">
        <v>449</v>
      </c>
      <c r="U1" s="9" t="s">
        <v>450</v>
      </c>
      <c r="V1" s="9" t="s">
        <v>451</v>
      </c>
      <c r="W1" s="9" t="s">
        <v>452</v>
      </c>
    </row>
    <row r="2" spans="1:23" x14ac:dyDescent="0.3">
      <c r="A2" t="s">
        <v>8</v>
      </c>
      <c r="B2" t="s">
        <v>208</v>
      </c>
      <c r="C2" t="s">
        <v>408</v>
      </c>
      <c r="D2" t="s">
        <v>413</v>
      </c>
      <c r="E2">
        <v>8</v>
      </c>
      <c r="F2" t="s">
        <v>415</v>
      </c>
      <c r="G2">
        <v>35779</v>
      </c>
      <c r="H2" t="s">
        <v>420</v>
      </c>
      <c r="I2" s="12" t="str" cm="1">
        <f t="array" ref="I2:I201">IF(H2:H201 = "Yes","Eligible","Not Eligible")</f>
        <v>Not Eligible</v>
      </c>
      <c r="J2" s="12" t="str" cm="1">
        <f t="array" ref="J2:J201">IF((D2:D201="Permanent")*(E2:E201&gt;5),"Senior Permanent","Other")</f>
        <v>Other</v>
      </c>
      <c r="K2" s="12" t="str" cm="1">
        <f t="array" ref="K2:K201">IF((C2:C201="Sales")+(F2:F201="Delhi"),"Target Role","General")</f>
        <v>Target Role</v>
      </c>
      <c r="L2" s="12" t="str" cm="1">
        <f t="array" ref="L2:L201">IF(G2:G201&gt;100000,"High Earner","Regular")</f>
        <v>Regular</v>
      </c>
      <c r="M2" s="12" t="str" cm="1">
        <f t="array" ref="M2:M201">IF(ISBLANK(H2:H201),"Pending Info","OK")</f>
        <v>OK</v>
      </c>
      <c r="N2" s="12" t="str" cm="1">
        <f t="array" ref="N2:N201">IF((E2:E201&gt;10)+(G2:G201&gt;90000),"Experienced","Junior")</f>
        <v>Junior</v>
      </c>
      <c r="O2" s="12" t="str" cm="1">
        <f t="array" ref="O2:O201">IF((F2:F201="Mumbai")+(F2:F201="Delhi")+(F2:F201="Bangalore"),"Metro","Non-Metro")</f>
        <v>Metro</v>
      </c>
      <c r="P2" s="12" t="str" cm="1">
        <f t="array" ref="P2:P201">IF((D2:D201="Contract")*(G2:G201&lt;40000),"Low-Pay Contract","Standard")</f>
        <v>Low-Pay Contract</v>
      </c>
      <c r="Q2" s="12" t="str" cm="1">
        <f t="array" ref="Q2:Q201">IF(E2:E201&gt;15,"Long-Term","Mid/Short-Term")</f>
        <v>Mid/Short-Term</v>
      </c>
      <c r="R2" s="12">
        <f>COUNTIF(H2:H201,"Yes")</f>
        <v>102</v>
      </c>
      <c r="S2" s="12">
        <f>COUNTIFS(D2:D201,"Permanent",G2:G201,"&gt;75000")</f>
        <v>54</v>
      </c>
      <c r="T2" s="12" cm="1">
        <f t="array" ref="T2:T201">IF(H2:H201="Yes",G2:G201*20%,0)</f>
        <v>0</v>
      </c>
      <c r="U2" s="12" t="str" cm="1">
        <f t="array" ref="U2:U201">"Earning ₹"&amp;TEXT(G2:G201,"#,##0,")&amp;"k"</f>
        <v>Earning ₹36k</v>
      </c>
      <c r="V2" s="12" cm="1">
        <f t="array" ref="V2:V201">IFERROR(ROUND(G2:G201/E2:E201,0),"Check Data")</f>
        <v>4472</v>
      </c>
      <c r="W2" s="12" t="str" cm="1">
        <f t="array" ref="W2:W201">IF((E2:E201&gt;=10)*(G2:G201&gt;=90000),"Promotable","Review")</f>
        <v>Review</v>
      </c>
    </row>
    <row r="3" spans="1:23" x14ac:dyDescent="0.3">
      <c r="A3" t="s">
        <v>9</v>
      </c>
      <c r="B3" t="s">
        <v>209</v>
      </c>
      <c r="C3" t="s">
        <v>409</v>
      </c>
      <c r="D3" t="s">
        <v>414</v>
      </c>
      <c r="E3">
        <v>16</v>
      </c>
      <c r="F3" t="s">
        <v>415</v>
      </c>
      <c r="G3">
        <v>82171</v>
      </c>
      <c r="H3" t="s">
        <v>420</v>
      </c>
      <c r="I3" s="12" t="str">
        <v>Not Eligible</v>
      </c>
      <c r="J3" s="12" t="str">
        <v>Senior Permanent</v>
      </c>
      <c r="K3" s="12" t="str">
        <v>General</v>
      </c>
      <c r="L3" s="12" t="str">
        <v>Regular</v>
      </c>
      <c r="M3" s="12" t="str">
        <v>OK</v>
      </c>
      <c r="N3" s="12" t="str">
        <v>Experienced</v>
      </c>
      <c r="O3" s="12" t="str">
        <v>Metro</v>
      </c>
      <c r="P3" s="12" t="str">
        <v>Standard</v>
      </c>
      <c r="Q3" s="12" t="str">
        <v>Long-Term</v>
      </c>
      <c r="R3" s="12">
        <f t="shared" ref="R3:R66" si="0">COUNTIF(H3:H202,"Yes")</f>
        <v>102</v>
      </c>
      <c r="S3" s="12">
        <f t="shared" ref="S3:S66" si="1">COUNTIFS(D3:D202,"Permanent",G3:G202,"&gt;75000")</f>
        <v>54</v>
      </c>
      <c r="T3" s="12">
        <v>0</v>
      </c>
      <c r="U3" s="12" t="str">
        <v>Earning ₹82k</v>
      </c>
      <c r="V3" s="12">
        <v>5136</v>
      </c>
      <c r="W3" s="12" t="str">
        <v>Review</v>
      </c>
    </row>
    <row r="4" spans="1:23" x14ac:dyDescent="0.3">
      <c r="A4" t="s">
        <v>10</v>
      </c>
      <c r="B4" t="s">
        <v>210</v>
      </c>
      <c r="C4" t="s">
        <v>410</v>
      </c>
      <c r="D4" t="s">
        <v>413</v>
      </c>
      <c r="E4">
        <v>11</v>
      </c>
      <c r="F4" t="s">
        <v>416</v>
      </c>
      <c r="G4">
        <v>137321</v>
      </c>
      <c r="H4" t="s">
        <v>420</v>
      </c>
      <c r="I4" s="12" t="str">
        <v>Not Eligible</v>
      </c>
      <c r="J4" s="12" t="str">
        <v>Other</v>
      </c>
      <c r="K4" s="12" t="str">
        <v>General</v>
      </c>
      <c r="L4" s="12" t="str">
        <v>High Earner</v>
      </c>
      <c r="M4" s="12" t="str">
        <v>OK</v>
      </c>
      <c r="N4" s="12" t="str">
        <v>Experienced</v>
      </c>
      <c r="O4" s="12" t="str">
        <v>Non-Metro</v>
      </c>
      <c r="P4" s="12" t="str">
        <v>Standard</v>
      </c>
      <c r="Q4" s="12" t="str">
        <v>Mid/Short-Term</v>
      </c>
      <c r="R4" s="12">
        <f t="shared" si="0"/>
        <v>102</v>
      </c>
      <c r="S4" s="12">
        <f t="shared" si="1"/>
        <v>53</v>
      </c>
      <c r="T4" s="12">
        <v>0</v>
      </c>
      <c r="U4" s="12" t="str">
        <v>Earning ₹137k</v>
      </c>
      <c r="V4" s="12">
        <v>12484</v>
      </c>
      <c r="W4" s="12" t="str">
        <v>Promotable</v>
      </c>
    </row>
    <row r="5" spans="1:23" x14ac:dyDescent="0.3">
      <c r="A5" t="s">
        <v>11</v>
      </c>
      <c r="B5" t="s">
        <v>211</v>
      </c>
      <c r="C5" t="s">
        <v>410</v>
      </c>
      <c r="D5" t="s">
        <v>414</v>
      </c>
      <c r="E5">
        <v>6</v>
      </c>
      <c r="F5" t="s">
        <v>417</v>
      </c>
      <c r="G5">
        <v>117559</v>
      </c>
      <c r="H5" t="s">
        <v>420</v>
      </c>
      <c r="I5" s="12" t="str">
        <v>Not Eligible</v>
      </c>
      <c r="J5" s="12" t="str">
        <v>Senior Permanent</v>
      </c>
      <c r="K5" s="12" t="str">
        <v>Target Role</v>
      </c>
      <c r="L5" s="12" t="str">
        <v>High Earner</v>
      </c>
      <c r="M5" s="12" t="str">
        <v>OK</v>
      </c>
      <c r="N5" s="12" t="str">
        <v>Experienced</v>
      </c>
      <c r="O5" s="12" t="str">
        <v>Metro</v>
      </c>
      <c r="P5" s="12" t="str">
        <v>Standard</v>
      </c>
      <c r="Q5" s="12" t="str">
        <v>Mid/Short-Term</v>
      </c>
      <c r="R5" s="12">
        <f t="shared" si="0"/>
        <v>102</v>
      </c>
      <c r="S5" s="12">
        <f t="shared" si="1"/>
        <v>53</v>
      </c>
      <c r="T5" s="12">
        <v>0</v>
      </c>
      <c r="U5" s="12" t="str">
        <v>Earning ₹118k</v>
      </c>
      <c r="V5" s="12">
        <v>19593</v>
      </c>
      <c r="W5" s="12" t="str">
        <v>Review</v>
      </c>
    </row>
    <row r="6" spans="1:23" x14ac:dyDescent="0.3">
      <c r="A6" t="s">
        <v>12</v>
      </c>
      <c r="B6" t="s">
        <v>212</v>
      </c>
      <c r="C6" t="s">
        <v>411</v>
      </c>
      <c r="D6" t="s">
        <v>413</v>
      </c>
      <c r="E6">
        <v>3</v>
      </c>
      <c r="F6" t="s">
        <v>417</v>
      </c>
      <c r="G6">
        <v>28863</v>
      </c>
      <c r="H6" t="s">
        <v>421</v>
      </c>
      <c r="I6" s="12" t="str">
        <v>Eligible</v>
      </c>
      <c r="J6" s="12" t="str">
        <v>Other</v>
      </c>
      <c r="K6" s="12" t="str">
        <v>Target Role</v>
      </c>
      <c r="L6" s="12" t="str">
        <v>Regular</v>
      </c>
      <c r="M6" s="12" t="str">
        <v>OK</v>
      </c>
      <c r="N6" s="12" t="str">
        <v>Junior</v>
      </c>
      <c r="O6" s="12" t="str">
        <v>Metro</v>
      </c>
      <c r="P6" s="12" t="str">
        <v>Low-Pay Contract</v>
      </c>
      <c r="Q6" s="12" t="str">
        <v>Mid/Short-Term</v>
      </c>
      <c r="R6" s="12">
        <f t="shared" si="0"/>
        <v>102</v>
      </c>
      <c r="S6" s="12">
        <f t="shared" si="1"/>
        <v>52</v>
      </c>
      <c r="T6" s="12">
        <v>5772.6</v>
      </c>
      <c r="U6" s="12" t="str">
        <v>Earning ₹29k</v>
      </c>
      <c r="V6" s="12">
        <v>9621</v>
      </c>
      <c r="W6" s="12" t="str">
        <v>Review</v>
      </c>
    </row>
    <row r="7" spans="1:23" x14ac:dyDescent="0.3">
      <c r="A7" t="s">
        <v>13</v>
      </c>
      <c r="B7" t="s">
        <v>213</v>
      </c>
      <c r="C7" t="s">
        <v>412</v>
      </c>
      <c r="D7" t="s">
        <v>414</v>
      </c>
      <c r="E7">
        <v>17</v>
      </c>
      <c r="F7" t="s">
        <v>416</v>
      </c>
      <c r="G7">
        <v>117872</v>
      </c>
      <c r="H7" t="s">
        <v>421</v>
      </c>
      <c r="I7" s="12" t="str">
        <v>Eligible</v>
      </c>
      <c r="J7" s="12" t="str">
        <v>Senior Permanent</v>
      </c>
      <c r="K7" s="12" t="str">
        <v>General</v>
      </c>
      <c r="L7" s="12" t="str">
        <v>High Earner</v>
      </c>
      <c r="M7" s="12" t="str">
        <v>OK</v>
      </c>
      <c r="N7" s="12" t="str">
        <v>Experienced</v>
      </c>
      <c r="O7" s="12" t="str">
        <v>Non-Metro</v>
      </c>
      <c r="P7" s="12" t="str">
        <v>Standard</v>
      </c>
      <c r="Q7" s="12" t="str">
        <v>Long-Term</v>
      </c>
      <c r="R7" s="12">
        <f t="shared" si="0"/>
        <v>101</v>
      </c>
      <c r="S7" s="12">
        <f t="shared" si="1"/>
        <v>52</v>
      </c>
      <c r="T7" s="12">
        <v>23574.400000000001</v>
      </c>
      <c r="U7" s="12" t="str">
        <v>Earning ₹118k</v>
      </c>
      <c r="V7" s="12">
        <v>6934</v>
      </c>
      <c r="W7" s="12" t="str">
        <v>Promotable</v>
      </c>
    </row>
    <row r="8" spans="1:23" x14ac:dyDescent="0.3">
      <c r="A8" t="s">
        <v>14</v>
      </c>
      <c r="B8" t="s">
        <v>214</v>
      </c>
      <c r="C8" t="s">
        <v>411</v>
      </c>
      <c r="D8" t="s">
        <v>413</v>
      </c>
      <c r="E8">
        <v>6</v>
      </c>
      <c r="F8" t="s">
        <v>418</v>
      </c>
      <c r="G8">
        <v>78482</v>
      </c>
      <c r="I8" s="12" t="str">
        <v>Not Eligible</v>
      </c>
      <c r="J8" s="12" t="str">
        <v>Other</v>
      </c>
      <c r="K8" s="12" t="str">
        <v>General</v>
      </c>
      <c r="L8" s="12" t="str">
        <v>Regular</v>
      </c>
      <c r="M8" s="12" t="str">
        <v>Pending Info</v>
      </c>
      <c r="N8" s="12" t="str">
        <v>Junior</v>
      </c>
      <c r="O8" s="12" t="str">
        <v>Non-Metro</v>
      </c>
      <c r="P8" s="12" t="str">
        <v>Standard</v>
      </c>
      <c r="Q8" s="12" t="str">
        <v>Mid/Short-Term</v>
      </c>
      <c r="R8" s="12">
        <f t="shared" si="0"/>
        <v>100</v>
      </c>
      <c r="S8" s="12">
        <f t="shared" si="1"/>
        <v>51</v>
      </c>
      <c r="T8" s="12">
        <v>0</v>
      </c>
      <c r="U8" s="12" t="str">
        <v>Earning ₹78k</v>
      </c>
      <c r="V8" s="12">
        <v>13080</v>
      </c>
      <c r="W8" s="12" t="str">
        <v>Review</v>
      </c>
    </row>
    <row r="9" spans="1:23" x14ac:dyDescent="0.3">
      <c r="A9" t="s">
        <v>15</v>
      </c>
      <c r="B9" t="s">
        <v>215</v>
      </c>
      <c r="C9" t="s">
        <v>409</v>
      </c>
      <c r="D9" t="s">
        <v>413</v>
      </c>
      <c r="E9">
        <v>3</v>
      </c>
      <c r="F9" t="s">
        <v>415</v>
      </c>
      <c r="G9">
        <v>105725</v>
      </c>
      <c r="H9" t="s">
        <v>420</v>
      </c>
      <c r="I9" s="12" t="str">
        <v>Not Eligible</v>
      </c>
      <c r="J9" s="12" t="str">
        <v>Other</v>
      </c>
      <c r="K9" s="12" t="str">
        <v>General</v>
      </c>
      <c r="L9" s="12" t="str">
        <v>High Earner</v>
      </c>
      <c r="M9" s="12" t="str">
        <v>OK</v>
      </c>
      <c r="N9" s="12" t="str">
        <v>Experienced</v>
      </c>
      <c r="O9" s="12" t="str">
        <v>Metro</v>
      </c>
      <c r="P9" s="12" t="str">
        <v>Standard</v>
      </c>
      <c r="Q9" s="12" t="str">
        <v>Mid/Short-Term</v>
      </c>
      <c r="R9" s="12">
        <f t="shared" si="0"/>
        <v>100</v>
      </c>
      <c r="S9" s="12">
        <f t="shared" si="1"/>
        <v>51</v>
      </c>
      <c r="T9" s="12">
        <v>0</v>
      </c>
      <c r="U9" s="12" t="str">
        <v>Earning ₹106k</v>
      </c>
      <c r="V9" s="12">
        <v>35242</v>
      </c>
      <c r="W9" s="12" t="str">
        <v>Review</v>
      </c>
    </row>
    <row r="10" spans="1:23" x14ac:dyDescent="0.3">
      <c r="A10" t="s">
        <v>16</v>
      </c>
      <c r="B10" t="s">
        <v>216</v>
      </c>
      <c r="C10" t="s">
        <v>409</v>
      </c>
      <c r="D10" t="s">
        <v>414</v>
      </c>
      <c r="E10">
        <v>13</v>
      </c>
      <c r="F10" t="s">
        <v>419</v>
      </c>
      <c r="G10">
        <v>118300</v>
      </c>
      <c r="H10" t="s">
        <v>420</v>
      </c>
      <c r="I10" s="12" t="str">
        <v>Not Eligible</v>
      </c>
      <c r="J10" s="12" t="str">
        <v>Senior Permanent</v>
      </c>
      <c r="K10" s="12" t="str">
        <v>General</v>
      </c>
      <c r="L10" s="12" t="str">
        <v>High Earner</v>
      </c>
      <c r="M10" s="12" t="str">
        <v>OK</v>
      </c>
      <c r="N10" s="12" t="str">
        <v>Experienced</v>
      </c>
      <c r="O10" s="12" t="str">
        <v>Metro</v>
      </c>
      <c r="P10" s="12" t="str">
        <v>Standard</v>
      </c>
      <c r="Q10" s="12" t="str">
        <v>Mid/Short-Term</v>
      </c>
      <c r="R10" s="12">
        <f t="shared" si="0"/>
        <v>100</v>
      </c>
      <c r="S10" s="12">
        <f t="shared" si="1"/>
        <v>51</v>
      </c>
      <c r="T10" s="12">
        <v>0</v>
      </c>
      <c r="U10" s="12" t="str">
        <v>Earning ₹118k</v>
      </c>
      <c r="V10" s="12">
        <v>9100</v>
      </c>
      <c r="W10" s="12" t="str">
        <v>Promotable</v>
      </c>
    </row>
    <row r="11" spans="1:23" x14ac:dyDescent="0.3">
      <c r="A11" t="s">
        <v>17</v>
      </c>
      <c r="B11" t="s">
        <v>217</v>
      </c>
      <c r="C11" t="s">
        <v>410</v>
      </c>
      <c r="D11" t="s">
        <v>414</v>
      </c>
      <c r="E11">
        <v>3</v>
      </c>
      <c r="F11" t="s">
        <v>417</v>
      </c>
      <c r="G11">
        <v>124344</v>
      </c>
      <c r="H11" t="s">
        <v>421</v>
      </c>
      <c r="I11" s="12" t="str">
        <v>Eligible</v>
      </c>
      <c r="J11" s="12" t="str">
        <v>Other</v>
      </c>
      <c r="K11" s="12" t="str">
        <v>Target Role</v>
      </c>
      <c r="L11" s="12" t="str">
        <v>High Earner</v>
      </c>
      <c r="M11" s="12" t="str">
        <v>OK</v>
      </c>
      <c r="N11" s="12" t="str">
        <v>Experienced</v>
      </c>
      <c r="O11" s="12" t="str">
        <v>Metro</v>
      </c>
      <c r="P11" s="12" t="str">
        <v>Standard</v>
      </c>
      <c r="Q11" s="12" t="str">
        <v>Mid/Short-Term</v>
      </c>
      <c r="R11" s="12">
        <f t="shared" si="0"/>
        <v>100</v>
      </c>
      <c r="S11" s="12">
        <f t="shared" si="1"/>
        <v>50</v>
      </c>
      <c r="T11" s="12">
        <v>24868.800000000003</v>
      </c>
      <c r="U11" s="12" t="str">
        <v>Earning ₹124k</v>
      </c>
      <c r="V11" s="12">
        <v>41448</v>
      </c>
      <c r="W11" s="12" t="str">
        <v>Review</v>
      </c>
    </row>
    <row r="12" spans="1:23" x14ac:dyDescent="0.3">
      <c r="A12" t="s">
        <v>18</v>
      </c>
      <c r="B12" t="s">
        <v>218</v>
      </c>
      <c r="C12" t="s">
        <v>411</v>
      </c>
      <c r="D12" t="s">
        <v>413</v>
      </c>
      <c r="E12">
        <v>20</v>
      </c>
      <c r="F12" t="s">
        <v>417</v>
      </c>
      <c r="G12">
        <v>94739</v>
      </c>
      <c r="H12" t="s">
        <v>420</v>
      </c>
      <c r="I12" s="12" t="str">
        <v>Not Eligible</v>
      </c>
      <c r="J12" s="12" t="str">
        <v>Other</v>
      </c>
      <c r="K12" s="12" t="str">
        <v>Target Role</v>
      </c>
      <c r="L12" s="12" t="str">
        <v>Regular</v>
      </c>
      <c r="M12" s="12" t="str">
        <v>OK</v>
      </c>
      <c r="N12" s="12" t="str">
        <v>Experienced</v>
      </c>
      <c r="O12" s="12" t="str">
        <v>Metro</v>
      </c>
      <c r="P12" s="12" t="str">
        <v>Standard</v>
      </c>
      <c r="Q12" s="12" t="str">
        <v>Long-Term</v>
      </c>
      <c r="R12" s="12">
        <f t="shared" si="0"/>
        <v>99</v>
      </c>
      <c r="S12" s="12">
        <f>COUNTIFS(D12:D211,"Permanent",G12:G211,"&gt;75000")</f>
        <v>49</v>
      </c>
      <c r="T12" s="12">
        <v>0</v>
      </c>
      <c r="U12" s="12" t="str">
        <v>Earning ₹95k</v>
      </c>
      <c r="V12" s="12">
        <v>4737</v>
      </c>
      <c r="W12" s="12" t="str">
        <v>Promotable</v>
      </c>
    </row>
    <row r="13" spans="1:23" x14ac:dyDescent="0.3">
      <c r="A13" t="s">
        <v>19</v>
      </c>
      <c r="B13" t="s">
        <v>219</v>
      </c>
      <c r="C13" t="s">
        <v>409</v>
      </c>
      <c r="D13" t="s">
        <v>414</v>
      </c>
      <c r="E13">
        <v>12</v>
      </c>
      <c r="F13" t="s">
        <v>417</v>
      </c>
      <c r="G13">
        <v>50174</v>
      </c>
      <c r="H13" t="s">
        <v>421</v>
      </c>
      <c r="I13" s="12" t="str">
        <v>Eligible</v>
      </c>
      <c r="J13" s="12" t="str">
        <v>Senior Permanent</v>
      </c>
      <c r="K13" s="12" t="str">
        <v>Target Role</v>
      </c>
      <c r="L13" s="12" t="str">
        <v>Regular</v>
      </c>
      <c r="M13" s="12" t="str">
        <v>OK</v>
      </c>
      <c r="N13" s="12" t="str">
        <v>Experienced</v>
      </c>
      <c r="O13" s="12" t="str">
        <v>Metro</v>
      </c>
      <c r="P13" s="12" t="str">
        <v>Standard</v>
      </c>
      <c r="Q13" s="12" t="str">
        <v>Mid/Short-Term</v>
      </c>
      <c r="R13" s="12">
        <f t="shared" si="0"/>
        <v>99</v>
      </c>
      <c r="S13" s="12">
        <f t="shared" si="1"/>
        <v>49</v>
      </c>
      <c r="T13" s="12">
        <v>10034.800000000001</v>
      </c>
      <c r="U13" s="12" t="str">
        <v>Earning ₹50k</v>
      </c>
      <c r="V13" s="12">
        <v>4181</v>
      </c>
      <c r="W13" s="12" t="str">
        <v>Review</v>
      </c>
    </row>
    <row r="14" spans="1:23" x14ac:dyDescent="0.3">
      <c r="A14" t="s">
        <v>20</v>
      </c>
      <c r="B14" t="s">
        <v>220</v>
      </c>
      <c r="C14" t="s">
        <v>412</v>
      </c>
      <c r="D14" t="s">
        <v>413</v>
      </c>
      <c r="E14">
        <v>15</v>
      </c>
      <c r="F14" t="s">
        <v>415</v>
      </c>
      <c r="G14">
        <v>78673</v>
      </c>
      <c r="H14" t="s">
        <v>421</v>
      </c>
      <c r="I14" s="12" t="str">
        <v>Eligible</v>
      </c>
      <c r="J14" s="12" t="str">
        <v>Other</v>
      </c>
      <c r="K14" s="12" t="str">
        <v>General</v>
      </c>
      <c r="L14" s="12" t="str">
        <v>Regular</v>
      </c>
      <c r="M14" s="12" t="str">
        <v>OK</v>
      </c>
      <c r="N14" s="12" t="str">
        <v>Experienced</v>
      </c>
      <c r="O14" s="12" t="str">
        <v>Metro</v>
      </c>
      <c r="P14" s="12" t="str">
        <v>Standard</v>
      </c>
      <c r="Q14" s="12" t="str">
        <v>Mid/Short-Term</v>
      </c>
      <c r="R14" s="12">
        <f t="shared" si="0"/>
        <v>98</v>
      </c>
      <c r="S14" s="12">
        <f t="shared" si="1"/>
        <v>49</v>
      </c>
      <c r="T14" s="12">
        <v>15734.6</v>
      </c>
      <c r="U14" s="12" t="str">
        <v>Earning ₹79k</v>
      </c>
      <c r="V14" s="12">
        <v>5245</v>
      </c>
      <c r="W14" s="12" t="str">
        <v>Review</v>
      </c>
    </row>
    <row r="15" spans="1:23" x14ac:dyDescent="0.3">
      <c r="A15" t="s">
        <v>21</v>
      </c>
      <c r="B15" t="s">
        <v>221</v>
      </c>
      <c r="C15" t="s">
        <v>412</v>
      </c>
      <c r="D15" t="s">
        <v>414</v>
      </c>
      <c r="E15">
        <v>11</v>
      </c>
      <c r="F15" t="s">
        <v>415</v>
      </c>
      <c r="G15">
        <v>110534</v>
      </c>
      <c r="H15" t="s">
        <v>421</v>
      </c>
      <c r="I15" s="12" t="str">
        <v>Eligible</v>
      </c>
      <c r="J15" s="12" t="str">
        <v>Senior Permanent</v>
      </c>
      <c r="K15" s="12" t="str">
        <v>General</v>
      </c>
      <c r="L15" s="12" t="str">
        <v>High Earner</v>
      </c>
      <c r="M15" s="12" t="str">
        <v>OK</v>
      </c>
      <c r="N15" s="12" t="str">
        <v>Experienced</v>
      </c>
      <c r="O15" s="12" t="str">
        <v>Metro</v>
      </c>
      <c r="P15" s="12" t="str">
        <v>Standard</v>
      </c>
      <c r="Q15" s="12" t="str">
        <v>Mid/Short-Term</v>
      </c>
      <c r="R15" s="12">
        <f t="shared" si="0"/>
        <v>97</v>
      </c>
      <c r="S15" s="12">
        <f t="shared" si="1"/>
        <v>49</v>
      </c>
      <c r="T15" s="12">
        <v>22106.800000000003</v>
      </c>
      <c r="U15" s="12" t="str">
        <v>Earning ₹111k</v>
      </c>
      <c r="V15" s="12">
        <v>10049</v>
      </c>
      <c r="W15" s="12" t="str">
        <v>Promotable</v>
      </c>
    </row>
    <row r="16" spans="1:23" x14ac:dyDescent="0.3">
      <c r="A16" t="s">
        <v>22</v>
      </c>
      <c r="B16" t="s">
        <v>222</v>
      </c>
      <c r="C16" t="s">
        <v>411</v>
      </c>
      <c r="D16" t="s">
        <v>414</v>
      </c>
      <c r="E16">
        <v>1</v>
      </c>
      <c r="F16" t="s">
        <v>418</v>
      </c>
      <c r="G16">
        <v>91796</v>
      </c>
      <c r="H16" t="s">
        <v>421</v>
      </c>
      <c r="I16" s="12" t="str">
        <v>Eligible</v>
      </c>
      <c r="J16" s="12" t="str">
        <v>Other</v>
      </c>
      <c r="K16" s="12" t="str">
        <v>General</v>
      </c>
      <c r="L16" s="12" t="str">
        <v>Regular</v>
      </c>
      <c r="M16" s="12" t="str">
        <v>OK</v>
      </c>
      <c r="N16" s="12" t="str">
        <v>Experienced</v>
      </c>
      <c r="O16" s="12" t="str">
        <v>Non-Metro</v>
      </c>
      <c r="P16" s="12" t="str">
        <v>Standard</v>
      </c>
      <c r="Q16" s="12" t="str">
        <v>Mid/Short-Term</v>
      </c>
      <c r="R16" s="12">
        <f t="shared" si="0"/>
        <v>96</v>
      </c>
      <c r="S16" s="12">
        <f t="shared" si="1"/>
        <v>48</v>
      </c>
      <c r="T16" s="12">
        <v>18359.2</v>
      </c>
      <c r="U16" s="12" t="str">
        <v>Earning ₹92k</v>
      </c>
      <c r="V16" s="12">
        <v>91796</v>
      </c>
      <c r="W16" s="12" t="str">
        <v>Review</v>
      </c>
    </row>
    <row r="17" spans="1:23" x14ac:dyDescent="0.3">
      <c r="A17" t="s">
        <v>23</v>
      </c>
      <c r="B17" t="s">
        <v>223</v>
      </c>
      <c r="C17" t="s">
        <v>408</v>
      </c>
      <c r="D17" t="s">
        <v>413</v>
      </c>
      <c r="E17">
        <v>21</v>
      </c>
      <c r="F17" t="s">
        <v>417</v>
      </c>
      <c r="G17">
        <v>112060</v>
      </c>
      <c r="H17" t="s">
        <v>420</v>
      </c>
      <c r="I17" s="12" t="str">
        <v>Not Eligible</v>
      </c>
      <c r="J17" s="12" t="str">
        <v>Other</v>
      </c>
      <c r="K17" s="12" t="str">
        <v>Target Role</v>
      </c>
      <c r="L17" s="12" t="str">
        <v>High Earner</v>
      </c>
      <c r="M17" s="12" t="str">
        <v>OK</v>
      </c>
      <c r="N17" s="12" t="str">
        <v>Experienced</v>
      </c>
      <c r="O17" s="12" t="str">
        <v>Metro</v>
      </c>
      <c r="P17" s="12" t="str">
        <v>Standard</v>
      </c>
      <c r="Q17" s="12" t="str">
        <v>Long-Term</v>
      </c>
      <c r="R17" s="12">
        <f t="shared" si="0"/>
        <v>95</v>
      </c>
      <c r="S17" s="12">
        <f t="shared" si="1"/>
        <v>47</v>
      </c>
      <c r="T17" s="12">
        <v>0</v>
      </c>
      <c r="U17" s="12" t="str">
        <v>Earning ₹112k</v>
      </c>
      <c r="V17" s="12">
        <v>5336</v>
      </c>
      <c r="W17" s="12" t="str">
        <v>Promotable</v>
      </c>
    </row>
    <row r="18" spans="1:23" x14ac:dyDescent="0.3">
      <c r="A18" t="s">
        <v>24</v>
      </c>
      <c r="B18" t="s">
        <v>224</v>
      </c>
      <c r="C18" t="s">
        <v>410</v>
      </c>
      <c r="D18" t="s">
        <v>413</v>
      </c>
      <c r="E18">
        <v>8</v>
      </c>
      <c r="F18" t="s">
        <v>415</v>
      </c>
      <c r="G18">
        <v>98462</v>
      </c>
      <c r="H18" t="s">
        <v>421</v>
      </c>
      <c r="I18" s="12" t="str">
        <v>Eligible</v>
      </c>
      <c r="J18" s="12" t="str">
        <v>Other</v>
      </c>
      <c r="K18" s="12" t="str">
        <v>General</v>
      </c>
      <c r="L18" s="12" t="str">
        <v>Regular</v>
      </c>
      <c r="M18" s="12" t="str">
        <v>OK</v>
      </c>
      <c r="N18" s="12" t="str">
        <v>Experienced</v>
      </c>
      <c r="O18" s="12" t="str">
        <v>Metro</v>
      </c>
      <c r="P18" s="12" t="str">
        <v>Standard</v>
      </c>
      <c r="Q18" s="12" t="str">
        <v>Mid/Short-Term</v>
      </c>
      <c r="R18" s="12">
        <f t="shared" si="0"/>
        <v>95</v>
      </c>
      <c r="S18" s="12">
        <f t="shared" si="1"/>
        <v>47</v>
      </c>
      <c r="T18" s="12">
        <v>19692.400000000001</v>
      </c>
      <c r="U18" s="12" t="str">
        <v>Earning ₹98k</v>
      </c>
      <c r="V18" s="12">
        <v>12308</v>
      </c>
      <c r="W18" s="12" t="str">
        <v>Review</v>
      </c>
    </row>
    <row r="19" spans="1:23" x14ac:dyDescent="0.3">
      <c r="A19" t="s">
        <v>25</v>
      </c>
      <c r="B19" t="s">
        <v>225</v>
      </c>
      <c r="C19" t="s">
        <v>410</v>
      </c>
      <c r="D19" t="s">
        <v>414</v>
      </c>
      <c r="E19">
        <v>19</v>
      </c>
      <c r="F19" t="s">
        <v>417</v>
      </c>
      <c r="G19">
        <v>100649</v>
      </c>
      <c r="I19" s="12" t="str">
        <v>Not Eligible</v>
      </c>
      <c r="J19" s="12" t="str">
        <v>Senior Permanent</v>
      </c>
      <c r="K19" s="12" t="str">
        <v>Target Role</v>
      </c>
      <c r="L19" s="12" t="str">
        <v>High Earner</v>
      </c>
      <c r="M19" s="12" t="str">
        <v>Pending Info</v>
      </c>
      <c r="N19" s="12" t="str">
        <v>Experienced</v>
      </c>
      <c r="O19" s="12" t="str">
        <v>Metro</v>
      </c>
      <c r="P19" s="12" t="str">
        <v>Standard</v>
      </c>
      <c r="Q19" s="12" t="str">
        <v>Long-Term</v>
      </c>
      <c r="R19" s="12">
        <f t="shared" si="0"/>
        <v>94</v>
      </c>
      <c r="S19" s="12">
        <f t="shared" si="1"/>
        <v>47</v>
      </c>
      <c r="T19" s="12">
        <v>0</v>
      </c>
      <c r="U19" s="12" t="str">
        <v>Earning ₹101k</v>
      </c>
      <c r="V19" s="12">
        <v>5297</v>
      </c>
      <c r="W19" s="12" t="str">
        <v>Promotable</v>
      </c>
    </row>
    <row r="20" spans="1:23" x14ac:dyDescent="0.3">
      <c r="A20" t="s">
        <v>26</v>
      </c>
      <c r="B20" t="s">
        <v>226</v>
      </c>
      <c r="C20" t="s">
        <v>411</v>
      </c>
      <c r="D20" t="s">
        <v>413</v>
      </c>
      <c r="E20">
        <v>17</v>
      </c>
      <c r="F20" t="s">
        <v>418</v>
      </c>
      <c r="G20">
        <v>31901</v>
      </c>
      <c r="H20" t="s">
        <v>420</v>
      </c>
      <c r="I20" s="12" t="str">
        <v>Not Eligible</v>
      </c>
      <c r="J20" s="12" t="str">
        <v>Other</v>
      </c>
      <c r="K20" s="12" t="str">
        <v>General</v>
      </c>
      <c r="L20" s="12" t="str">
        <v>Regular</v>
      </c>
      <c r="M20" s="12" t="str">
        <v>OK</v>
      </c>
      <c r="N20" s="12" t="str">
        <v>Experienced</v>
      </c>
      <c r="O20" s="12" t="str">
        <v>Non-Metro</v>
      </c>
      <c r="P20" s="12" t="str">
        <v>Low-Pay Contract</v>
      </c>
      <c r="Q20" s="12" t="str">
        <v>Long-Term</v>
      </c>
      <c r="R20" s="12">
        <f t="shared" si="0"/>
        <v>94</v>
      </c>
      <c r="S20" s="12">
        <f t="shared" si="1"/>
        <v>46</v>
      </c>
      <c r="T20" s="12">
        <v>0</v>
      </c>
      <c r="U20" s="12" t="str">
        <v>Earning ₹32k</v>
      </c>
      <c r="V20" s="12">
        <v>1877</v>
      </c>
      <c r="W20" s="12" t="str">
        <v>Review</v>
      </c>
    </row>
    <row r="21" spans="1:23" x14ac:dyDescent="0.3">
      <c r="A21" t="s">
        <v>27</v>
      </c>
      <c r="B21" t="s">
        <v>227</v>
      </c>
      <c r="C21" t="s">
        <v>411</v>
      </c>
      <c r="D21" t="s">
        <v>414</v>
      </c>
      <c r="E21">
        <v>15</v>
      </c>
      <c r="F21" t="s">
        <v>417</v>
      </c>
      <c r="G21">
        <v>124481</v>
      </c>
      <c r="H21" t="s">
        <v>420</v>
      </c>
      <c r="I21" s="12" t="str">
        <v>Not Eligible</v>
      </c>
      <c r="J21" s="12" t="str">
        <v>Senior Permanent</v>
      </c>
      <c r="K21" s="12" t="str">
        <v>Target Role</v>
      </c>
      <c r="L21" s="12" t="str">
        <v>High Earner</v>
      </c>
      <c r="M21" s="12" t="str">
        <v>OK</v>
      </c>
      <c r="N21" s="12" t="str">
        <v>Experienced</v>
      </c>
      <c r="O21" s="12" t="str">
        <v>Metro</v>
      </c>
      <c r="P21" s="12" t="str">
        <v>Standard</v>
      </c>
      <c r="Q21" s="12" t="str">
        <v>Mid/Short-Term</v>
      </c>
      <c r="R21" s="12">
        <f t="shared" si="0"/>
        <v>94</v>
      </c>
      <c r="S21" s="12">
        <f t="shared" si="1"/>
        <v>46</v>
      </c>
      <c r="T21" s="12">
        <v>0</v>
      </c>
      <c r="U21" s="12" t="str">
        <v>Earning ₹124k</v>
      </c>
      <c r="V21" s="12">
        <v>8299</v>
      </c>
      <c r="W21" s="12" t="str">
        <v>Promotable</v>
      </c>
    </row>
    <row r="22" spans="1:23" x14ac:dyDescent="0.3">
      <c r="A22" t="s">
        <v>28</v>
      </c>
      <c r="B22" t="s">
        <v>228</v>
      </c>
      <c r="C22" t="s">
        <v>411</v>
      </c>
      <c r="D22" t="s">
        <v>413</v>
      </c>
      <c r="E22">
        <v>4</v>
      </c>
      <c r="F22" t="s">
        <v>416</v>
      </c>
      <c r="G22">
        <v>145611</v>
      </c>
      <c r="H22" t="s">
        <v>420</v>
      </c>
      <c r="I22" s="12" t="str">
        <v>Not Eligible</v>
      </c>
      <c r="J22" s="12" t="str">
        <v>Other</v>
      </c>
      <c r="K22" s="12" t="str">
        <v>General</v>
      </c>
      <c r="L22" s="12" t="str">
        <v>High Earner</v>
      </c>
      <c r="M22" s="12" t="str">
        <v>OK</v>
      </c>
      <c r="N22" s="12" t="str">
        <v>Experienced</v>
      </c>
      <c r="O22" s="12" t="str">
        <v>Non-Metro</v>
      </c>
      <c r="P22" s="12" t="str">
        <v>Standard</v>
      </c>
      <c r="Q22" s="12" t="str">
        <v>Mid/Short-Term</v>
      </c>
      <c r="R22" s="12">
        <f t="shared" si="0"/>
        <v>94</v>
      </c>
      <c r="S22" s="12">
        <f t="shared" si="1"/>
        <v>45</v>
      </c>
      <c r="T22" s="12">
        <v>0</v>
      </c>
      <c r="U22" s="12" t="str">
        <v>Earning ₹146k</v>
      </c>
      <c r="V22" s="12">
        <v>36403</v>
      </c>
      <c r="W22" s="12" t="str">
        <v>Review</v>
      </c>
    </row>
    <row r="23" spans="1:23" x14ac:dyDescent="0.3">
      <c r="A23" t="s">
        <v>29</v>
      </c>
      <c r="B23" t="s">
        <v>229</v>
      </c>
      <c r="C23" t="s">
        <v>409</v>
      </c>
      <c r="D23" t="s">
        <v>413</v>
      </c>
      <c r="E23">
        <v>1</v>
      </c>
      <c r="F23" t="s">
        <v>416</v>
      </c>
      <c r="G23">
        <v>53175</v>
      </c>
      <c r="H23" t="s">
        <v>421</v>
      </c>
      <c r="I23" s="12" t="str">
        <v>Eligible</v>
      </c>
      <c r="J23" s="12" t="str">
        <v>Other</v>
      </c>
      <c r="K23" s="12" t="str">
        <v>General</v>
      </c>
      <c r="L23" s="12" t="str">
        <v>Regular</v>
      </c>
      <c r="M23" s="12" t="str">
        <v>OK</v>
      </c>
      <c r="N23" s="12" t="str">
        <v>Junior</v>
      </c>
      <c r="O23" s="12" t="str">
        <v>Non-Metro</v>
      </c>
      <c r="P23" s="12" t="str">
        <v>Standard</v>
      </c>
      <c r="Q23" s="12" t="str">
        <v>Mid/Short-Term</v>
      </c>
      <c r="R23" s="12">
        <f t="shared" si="0"/>
        <v>94</v>
      </c>
      <c r="S23" s="12">
        <f t="shared" si="1"/>
        <v>45</v>
      </c>
      <c r="T23" s="12">
        <v>10635</v>
      </c>
      <c r="U23" s="12" t="str">
        <v>Earning ₹53k</v>
      </c>
      <c r="V23" s="12">
        <v>53175</v>
      </c>
      <c r="W23" s="12" t="str">
        <v>Review</v>
      </c>
    </row>
    <row r="24" spans="1:23" x14ac:dyDescent="0.3">
      <c r="A24" t="s">
        <v>30</v>
      </c>
      <c r="B24" t="s">
        <v>230</v>
      </c>
      <c r="C24" t="s">
        <v>409</v>
      </c>
      <c r="D24" t="s">
        <v>413</v>
      </c>
      <c r="E24">
        <v>21</v>
      </c>
      <c r="F24" t="s">
        <v>419</v>
      </c>
      <c r="G24">
        <v>126561</v>
      </c>
      <c r="H24" t="s">
        <v>421</v>
      </c>
      <c r="I24" s="12" t="str">
        <v>Eligible</v>
      </c>
      <c r="J24" s="12" t="str">
        <v>Other</v>
      </c>
      <c r="K24" s="12" t="str">
        <v>General</v>
      </c>
      <c r="L24" s="12" t="str">
        <v>High Earner</v>
      </c>
      <c r="M24" s="12" t="str">
        <v>OK</v>
      </c>
      <c r="N24" s="12" t="str">
        <v>Experienced</v>
      </c>
      <c r="O24" s="12" t="str">
        <v>Metro</v>
      </c>
      <c r="P24" s="12" t="str">
        <v>Standard</v>
      </c>
      <c r="Q24" s="12" t="str">
        <v>Long-Term</v>
      </c>
      <c r="R24" s="12">
        <f t="shared" si="0"/>
        <v>93</v>
      </c>
      <c r="S24" s="12">
        <f t="shared" si="1"/>
        <v>45</v>
      </c>
      <c r="T24" s="12">
        <v>25312.2</v>
      </c>
      <c r="U24" s="12" t="str">
        <v>Earning ₹127k</v>
      </c>
      <c r="V24" s="12">
        <v>6027</v>
      </c>
      <c r="W24" s="12" t="str">
        <v>Promotable</v>
      </c>
    </row>
    <row r="25" spans="1:23" x14ac:dyDescent="0.3">
      <c r="A25" t="s">
        <v>31</v>
      </c>
      <c r="B25" t="s">
        <v>231</v>
      </c>
      <c r="C25" t="s">
        <v>411</v>
      </c>
      <c r="D25" t="s">
        <v>413</v>
      </c>
      <c r="E25">
        <v>24</v>
      </c>
      <c r="F25" t="s">
        <v>415</v>
      </c>
      <c r="G25">
        <v>38811</v>
      </c>
      <c r="H25" t="s">
        <v>421</v>
      </c>
      <c r="I25" s="12" t="str">
        <v>Eligible</v>
      </c>
      <c r="J25" s="12" t="str">
        <v>Other</v>
      </c>
      <c r="K25" s="12" t="str">
        <v>General</v>
      </c>
      <c r="L25" s="12" t="str">
        <v>Regular</v>
      </c>
      <c r="M25" s="12" t="str">
        <v>OK</v>
      </c>
      <c r="N25" s="12" t="str">
        <v>Experienced</v>
      </c>
      <c r="O25" s="12" t="str">
        <v>Metro</v>
      </c>
      <c r="P25" s="12" t="str">
        <v>Low-Pay Contract</v>
      </c>
      <c r="Q25" s="12" t="str">
        <v>Long-Term</v>
      </c>
      <c r="R25" s="12">
        <f t="shared" si="0"/>
        <v>92</v>
      </c>
      <c r="S25" s="12">
        <f t="shared" si="1"/>
        <v>45</v>
      </c>
      <c r="T25" s="12">
        <v>7762.2000000000007</v>
      </c>
      <c r="U25" s="12" t="str">
        <v>Earning ₹39k</v>
      </c>
      <c r="V25" s="12">
        <v>1617</v>
      </c>
      <c r="W25" s="12" t="str">
        <v>Review</v>
      </c>
    </row>
    <row r="26" spans="1:23" x14ac:dyDescent="0.3">
      <c r="A26" t="s">
        <v>32</v>
      </c>
      <c r="B26" t="s">
        <v>232</v>
      </c>
      <c r="C26" t="s">
        <v>409</v>
      </c>
      <c r="D26" t="s">
        <v>413</v>
      </c>
      <c r="E26">
        <v>16</v>
      </c>
      <c r="F26" t="s">
        <v>415</v>
      </c>
      <c r="G26">
        <v>38899</v>
      </c>
      <c r="H26" t="s">
        <v>420</v>
      </c>
      <c r="I26" s="12" t="str">
        <v>Not Eligible</v>
      </c>
      <c r="J26" s="12" t="str">
        <v>Other</v>
      </c>
      <c r="K26" s="12" t="str">
        <v>General</v>
      </c>
      <c r="L26" s="12" t="str">
        <v>Regular</v>
      </c>
      <c r="M26" s="12" t="str">
        <v>OK</v>
      </c>
      <c r="N26" s="12" t="str">
        <v>Experienced</v>
      </c>
      <c r="O26" s="12" t="str">
        <v>Metro</v>
      </c>
      <c r="P26" s="12" t="str">
        <v>Low-Pay Contract</v>
      </c>
      <c r="Q26" s="12" t="str">
        <v>Long-Term</v>
      </c>
      <c r="R26" s="12">
        <f t="shared" si="0"/>
        <v>91</v>
      </c>
      <c r="S26" s="12">
        <f t="shared" si="1"/>
        <v>45</v>
      </c>
      <c r="T26" s="12">
        <v>0</v>
      </c>
      <c r="U26" s="12" t="str">
        <v>Earning ₹39k</v>
      </c>
      <c r="V26" s="12">
        <v>2431</v>
      </c>
      <c r="W26" s="12" t="str">
        <v>Review</v>
      </c>
    </row>
    <row r="27" spans="1:23" x14ac:dyDescent="0.3">
      <c r="A27" t="s">
        <v>33</v>
      </c>
      <c r="B27" t="s">
        <v>233</v>
      </c>
      <c r="C27" t="s">
        <v>409</v>
      </c>
      <c r="D27" t="s">
        <v>413</v>
      </c>
      <c r="E27">
        <v>7</v>
      </c>
      <c r="F27" t="s">
        <v>415</v>
      </c>
      <c r="G27">
        <v>121377</v>
      </c>
      <c r="H27" t="s">
        <v>421</v>
      </c>
      <c r="I27" s="12" t="str">
        <v>Eligible</v>
      </c>
      <c r="J27" s="12" t="str">
        <v>Other</v>
      </c>
      <c r="K27" s="12" t="str">
        <v>General</v>
      </c>
      <c r="L27" s="12" t="str">
        <v>High Earner</v>
      </c>
      <c r="M27" s="12" t="str">
        <v>OK</v>
      </c>
      <c r="N27" s="12" t="str">
        <v>Experienced</v>
      </c>
      <c r="O27" s="12" t="str">
        <v>Metro</v>
      </c>
      <c r="P27" s="12" t="str">
        <v>Standard</v>
      </c>
      <c r="Q27" s="12" t="str">
        <v>Mid/Short-Term</v>
      </c>
      <c r="R27" s="12">
        <f t="shared" si="0"/>
        <v>91</v>
      </c>
      <c r="S27" s="12">
        <f t="shared" si="1"/>
        <v>45</v>
      </c>
      <c r="T27" s="12">
        <v>24275.4</v>
      </c>
      <c r="U27" s="12" t="str">
        <v>Earning ₹121k</v>
      </c>
      <c r="V27" s="12">
        <v>17340</v>
      </c>
      <c r="W27" s="12" t="str">
        <v>Review</v>
      </c>
    </row>
    <row r="28" spans="1:23" x14ac:dyDescent="0.3">
      <c r="A28" t="s">
        <v>34</v>
      </c>
      <c r="B28" t="s">
        <v>234</v>
      </c>
      <c r="C28" t="s">
        <v>409</v>
      </c>
      <c r="D28" t="s">
        <v>414</v>
      </c>
      <c r="E28">
        <v>7</v>
      </c>
      <c r="F28" t="s">
        <v>415</v>
      </c>
      <c r="G28">
        <v>32438</v>
      </c>
      <c r="H28" t="s">
        <v>420</v>
      </c>
      <c r="I28" s="12" t="str">
        <v>Not Eligible</v>
      </c>
      <c r="J28" s="12" t="str">
        <v>Senior Permanent</v>
      </c>
      <c r="K28" s="12" t="str">
        <v>General</v>
      </c>
      <c r="L28" s="12" t="str">
        <v>Regular</v>
      </c>
      <c r="M28" s="12" t="str">
        <v>OK</v>
      </c>
      <c r="N28" s="12" t="str">
        <v>Junior</v>
      </c>
      <c r="O28" s="12" t="str">
        <v>Metro</v>
      </c>
      <c r="P28" s="12" t="str">
        <v>Standard</v>
      </c>
      <c r="Q28" s="12" t="str">
        <v>Mid/Short-Term</v>
      </c>
      <c r="R28" s="12">
        <f t="shared" si="0"/>
        <v>90</v>
      </c>
      <c r="S28" s="12">
        <f t="shared" si="1"/>
        <v>45</v>
      </c>
      <c r="T28" s="12">
        <v>0</v>
      </c>
      <c r="U28" s="12" t="str">
        <v>Earning ₹32k</v>
      </c>
      <c r="V28" s="12">
        <v>4634</v>
      </c>
      <c r="W28" s="12" t="str">
        <v>Review</v>
      </c>
    </row>
    <row r="29" spans="1:23" x14ac:dyDescent="0.3">
      <c r="A29" t="s">
        <v>35</v>
      </c>
      <c r="B29" t="s">
        <v>235</v>
      </c>
      <c r="C29" t="s">
        <v>408</v>
      </c>
      <c r="D29" t="s">
        <v>414</v>
      </c>
      <c r="E29">
        <v>0</v>
      </c>
      <c r="F29" t="s">
        <v>419</v>
      </c>
      <c r="G29">
        <v>63191</v>
      </c>
      <c r="H29" t="s">
        <v>421</v>
      </c>
      <c r="I29" s="12" t="str">
        <v>Eligible</v>
      </c>
      <c r="J29" s="12" t="str">
        <v>Other</v>
      </c>
      <c r="K29" s="12" t="str">
        <v>Target Role</v>
      </c>
      <c r="L29" s="12" t="str">
        <v>Regular</v>
      </c>
      <c r="M29" s="12" t="str">
        <v>OK</v>
      </c>
      <c r="N29" s="12" t="str">
        <v>Junior</v>
      </c>
      <c r="O29" s="12" t="str">
        <v>Metro</v>
      </c>
      <c r="P29" s="12" t="str">
        <v>Standard</v>
      </c>
      <c r="Q29" s="12" t="str">
        <v>Mid/Short-Term</v>
      </c>
      <c r="R29" s="12">
        <f t="shared" si="0"/>
        <v>90</v>
      </c>
      <c r="S29" s="12">
        <f t="shared" si="1"/>
        <v>45</v>
      </c>
      <c r="T29" s="12">
        <v>12638.2</v>
      </c>
      <c r="U29" s="12" t="str">
        <v>Earning ₹63k</v>
      </c>
      <c r="V29" s="12" t="str">
        <v>Check Data</v>
      </c>
      <c r="W29" s="12" t="str">
        <v>Review</v>
      </c>
    </row>
    <row r="30" spans="1:23" x14ac:dyDescent="0.3">
      <c r="A30" t="s">
        <v>36</v>
      </c>
      <c r="B30" t="s">
        <v>236</v>
      </c>
      <c r="C30" t="s">
        <v>412</v>
      </c>
      <c r="D30" t="s">
        <v>414</v>
      </c>
      <c r="E30">
        <v>19</v>
      </c>
      <c r="F30" t="s">
        <v>417</v>
      </c>
      <c r="G30">
        <v>79027</v>
      </c>
      <c r="H30" t="s">
        <v>420</v>
      </c>
      <c r="I30" s="12" t="str">
        <v>Not Eligible</v>
      </c>
      <c r="J30" s="12" t="str">
        <v>Senior Permanent</v>
      </c>
      <c r="K30" s="12" t="str">
        <v>Target Role</v>
      </c>
      <c r="L30" s="12" t="str">
        <v>Regular</v>
      </c>
      <c r="M30" s="12" t="str">
        <v>OK</v>
      </c>
      <c r="N30" s="12" t="str">
        <v>Experienced</v>
      </c>
      <c r="O30" s="12" t="str">
        <v>Metro</v>
      </c>
      <c r="P30" s="12" t="str">
        <v>Standard</v>
      </c>
      <c r="Q30" s="12" t="str">
        <v>Long-Term</v>
      </c>
      <c r="R30" s="12">
        <f t="shared" si="0"/>
        <v>89</v>
      </c>
      <c r="S30" s="12">
        <f t="shared" si="1"/>
        <v>45</v>
      </c>
      <c r="T30" s="12">
        <v>0</v>
      </c>
      <c r="U30" s="12" t="str">
        <v>Earning ₹79k</v>
      </c>
      <c r="V30" s="12">
        <v>4159</v>
      </c>
      <c r="W30" s="12" t="str">
        <v>Review</v>
      </c>
    </row>
    <row r="31" spans="1:23" x14ac:dyDescent="0.3">
      <c r="A31" t="s">
        <v>37</v>
      </c>
      <c r="B31" t="s">
        <v>237</v>
      </c>
      <c r="C31" t="s">
        <v>408</v>
      </c>
      <c r="D31" t="s">
        <v>414</v>
      </c>
      <c r="E31">
        <v>30</v>
      </c>
      <c r="F31" t="s">
        <v>415</v>
      </c>
      <c r="G31">
        <v>26098</v>
      </c>
      <c r="H31" t="s">
        <v>420</v>
      </c>
      <c r="I31" s="12" t="str">
        <v>Not Eligible</v>
      </c>
      <c r="J31" s="12" t="str">
        <v>Senior Permanent</v>
      </c>
      <c r="K31" s="12" t="str">
        <v>Target Role</v>
      </c>
      <c r="L31" s="12" t="str">
        <v>Regular</v>
      </c>
      <c r="M31" s="12" t="str">
        <v>OK</v>
      </c>
      <c r="N31" s="12" t="str">
        <v>Experienced</v>
      </c>
      <c r="O31" s="12" t="str">
        <v>Metro</v>
      </c>
      <c r="P31" s="12" t="str">
        <v>Standard</v>
      </c>
      <c r="Q31" s="12" t="str">
        <v>Long-Term</v>
      </c>
      <c r="R31" s="12">
        <f t="shared" si="0"/>
        <v>89</v>
      </c>
      <c r="S31" s="12">
        <f t="shared" si="1"/>
        <v>44</v>
      </c>
      <c r="T31" s="12">
        <v>0</v>
      </c>
      <c r="U31" s="12" t="str">
        <v>Earning ₹26k</v>
      </c>
      <c r="V31" s="12">
        <v>870</v>
      </c>
      <c r="W31" s="12" t="str">
        <v>Review</v>
      </c>
    </row>
    <row r="32" spans="1:23" x14ac:dyDescent="0.3">
      <c r="A32" t="s">
        <v>38</v>
      </c>
      <c r="B32" t="s">
        <v>238</v>
      </c>
      <c r="C32" t="s">
        <v>411</v>
      </c>
      <c r="D32" t="s">
        <v>413</v>
      </c>
      <c r="E32">
        <v>10</v>
      </c>
      <c r="F32" t="s">
        <v>415</v>
      </c>
      <c r="G32">
        <v>46576</v>
      </c>
      <c r="H32" t="s">
        <v>420</v>
      </c>
      <c r="I32" s="12" t="str">
        <v>Not Eligible</v>
      </c>
      <c r="J32" s="12" t="str">
        <v>Other</v>
      </c>
      <c r="K32" s="12" t="str">
        <v>General</v>
      </c>
      <c r="L32" s="12" t="str">
        <v>Regular</v>
      </c>
      <c r="M32" s="12" t="str">
        <v>OK</v>
      </c>
      <c r="N32" s="12" t="str">
        <v>Junior</v>
      </c>
      <c r="O32" s="12" t="str">
        <v>Metro</v>
      </c>
      <c r="P32" s="12" t="str">
        <v>Standard</v>
      </c>
      <c r="Q32" s="12" t="str">
        <v>Mid/Short-Term</v>
      </c>
      <c r="R32" s="12">
        <f t="shared" si="0"/>
        <v>89</v>
      </c>
      <c r="S32" s="12">
        <f t="shared" si="1"/>
        <v>44</v>
      </c>
      <c r="T32" s="12">
        <v>0</v>
      </c>
      <c r="U32" s="12" t="str">
        <v>Earning ₹47k</v>
      </c>
      <c r="V32" s="12">
        <v>4658</v>
      </c>
      <c r="W32" s="12" t="str">
        <v>Review</v>
      </c>
    </row>
    <row r="33" spans="1:23" x14ac:dyDescent="0.3">
      <c r="A33" t="s">
        <v>39</v>
      </c>
      <c r="B33" t="s">
        <v>239</v>
      </c>
      <c r="C33" t="s">
        <v>409</v>
      </c>
      <c r="D33" t="s">
        <v>414</v>
      </c>
      <c r="E33">
        <v>2</v>
      </c>
      <c r="F33" t="s">
        <v>417</v>
      </c>
      <c r="G33">
        <v>35436</v>
      </c>
      <c r="H33" t="s">
        <v>421</v>
      </c>
      <c r="I33" s="12" t="str">
        <v>Eligible</v>
      </c>
      <c r="J33" s="12" t="str">
        <v>Other</v>
      </c>
      <c r="K33" s="12" t="str">
        <v>Target Role</v>
      </c>
      <c r="L33" s="12" t="str">
        <v>Regular</v>
      </c>
      <c r="M33" s="12" t="str">
        <v>OK</v>
      </c>
      <c r="N33" s="12" t="str">
        <v>Junior</v>
      </c>
      <c r="O33" s="12" t="str">
        <v>Metro</v>
      </c>
      <c r="P33" s="12" t="str">
        <v>Standard</v>
      </c>
      <c r="Q33" s="12" t="str">
        <v>Mid/Short-Term</v>
      </c>
      <c r="R33" s="12">
        <f t="shared" si="0"/>
        <v>89</v>
      </c>
      <c r="S33" s="12">
        <f t="shared" si="1"/>
        <v>44</v>
      </c>
      <c r="T33" s="12">
        <v>7087.2000000000007</v>
      </c>
      <c r="U33" s="12" t="str">
        <v>Earning ₹35k</v>
      </c>
      <c r="V33" s="12">
        <v>17718</v>
      </c>
      <c r="W33" s="12" t="str">
        <v>Review</v>
      </c>
    </row>
    <row r="34" spans="1:23" x14ac:dyDescent="0.3">
      <c r="A34" t="s">
        <v>40</v>
      </c>
      <c r="B34" t="s">
        <v>240</v>
      </c>
      <c r="C34" t="s">
        <v>410</v>
      </c>
      <c r="D34" t="s">
        <v>413</v>
      </c>
      <c r="E34">
        <v>7</v>
      </c>
      <c r="F34" t="s">
        <v>418</v>
      </c>
      <c r="G34">
        <v>62166</v>
      </c>
      <c r="H34" t="s">
        <v>421</v>
      </c>
      <c r="I34" s="12" t="str">
        <v>Eligible</v>
      </c>
      <c r="J34" s="12" t="str">
        <v>Other</v>
      </c>
      <c r="K34" s="12" t="str">
        <v>General</v>
      </c>
      <c r="L34" s="12" t="str">
        <v>Regular</v>
      </c>
      <c r="M34" s="12" t="str">
        <v>OK</v>
      </c>
      <c r="N34" s="12" t="str">
        <v>Junior</v>
      </c>
      <c r="O34" s="12" t="str">
        <v>Non-Metro</v>
      </c>
      <c r="P34" s="12" t="str">
        <v>Standard</v>
      </c>
      <c r="Q34" s="12" t="str">
        <v>Mid/Short-Term</v>
      </c>
      <c r="R34" s="12">
        <f t="shared" si="0"/>
        <v>88</v>
      </c>
      <c r="S34" s="12">
        <f t="shared" si="1"/>
        <v>44</v>
      </c>
      <c r="T34" s="12">
        <v>12433.2</v>
      </c>
      <c r="U34" s="12" t="str">
        <v>Earning ₹62k</v>
      </c>
      <c r="V34" s="12">
        <v>8881</v>
      </c>
      <c r="W34" s="12" t="str">
        <v>Review</v>
      </c>
    </row>
    <row r="35" spans="1:23" x14ac:dyDescent="0.3">
      <c r="A35" t="s">
        <v>41</v>
      </c>
      <c r="B35" t="s">
        <v>241</v>
      </c>
      <c r="C35" t="s">
        <v>410</v>
      </c>
      <c r="D35" t="s">
        <v>414</v>
      </c>
      <c r="E35">
        <v>19</v>
      </c>
      <c r="F35" t="s">
        <v>417</v>
      </c>
      <c r="G35">
        <v>51818</v>
      </c>
      <c r="H35" t="s">
        <v>421</v>
      </c>
      <c r="I35" s="12" t="str">
        <v>Eligible</v>
      </c>
      <c r="J35" s="12" t="str">
        <v>Senior Permanent</v>
      </c>
      <c r="K35" s="12" t="str">
        <v>Target Role</v>
      </c>
      <c r="L35" s="12" t="str">
        <v>Regular</v>
      </c>
      <c r="M35" s="12" t="str">
        <v>OK</v>
      </c>
      <c r="N35" s="12" t="str">
        <v>Experienced</v>
      </c>
      <c r="O35" s="12" t="str">
        <v>Metro</v>
      </c>
      <c r="P35" s="12" t="str">
        <v>Standard</v>
      </c>
      <c r="Q35" s="12" t="str">
        <v>Long-Term</v>
      </c>
      <c r="R35" s="12">
        <f t="shared" si="0"/>
        <v>87</v>
      </c>
      <c r="S35" s="12">
        <f t="shared" si="1"/>
        <v>44</v>
      </c>
      <c r="T35" s="12">
        <v>10363.6</v>
      </c>
      <c r="U35" s="12" t="str">
        <v>Earning ₹52k</v>
      </c>
      <c r="V35" s="12">
        <v>2727</v>
      </c>
      <c r="W35" s="12" t="str">
        <v>Review</v>
      </c>
    </row>
    <row r="36" spans="1:23" x14ac:dyDescent="0.3">
      <c r="A36" t="s">
        <v>42</v>
      </c>
      <c r="B36" t="s">
        <v>242</v>
      </c>
      <c r="C36" t="s">
        <v>409</v>
      </c>
      <c r="D36" t="s">
        <v>414</v>
      </c>
      <c r="E36">
        <v>1</v>
      </c>
      <c r="F36" t="s">
        <v>418</v>
      </c>
      <c r="G36">
        <v>104344</v>
      </c>
      <c r="H36" t="s">
        <v>420</v>
      </c>
      <c r="I36" s="12" t="str">
        <v>Not Eligible</v>
      </c>
      <c r="J36" s="12" t="str">
        <v>Other</v>
      </c>
      <c r="K36" s="12" t="str">
        <v>General</v>
      </c>
      <c r="L36" s="12" t="str">
        <v>High Earner</v>
      </c>
      <c r="M36" s="12" t="str">
        <v>OK</v>
      </c>
      <c r="N36" s="12" t="str">
        <v>Experienced</v>
      </c>
      <c r="O36" s="12" t="str">
        <v>Non-Metro</v>
      </c>
      <c r="P36" s="12" t="str">
        <v>Standard</v>
      </c>
      <c r="Q36" s="12" t="str">
        <v>Mid/Short-Term</v>
      </c>
      <c r="R36" s="12">
        <f t="shared" si="0"/>
        <v>86</v>
      </c>
      <c r="S36" s="12">
        <f t="shared" si="1"/>
        <v>44</v>
      </c>
      <c r="T36" s="12">
        <v>0</v>
      </c>
      <c r="U36" s="12" t="str">
        <v>Earning ₹104k</v>
      </c>
      <c r="V36" s="12">
        <v>104344</v>
      </c>
      <c r="W36" s="12" t="str">
        <v>Review</v>
      </c>
    </row>
    <row r="37" spans="1:23" x14ac:dyDescent="0.3">
      <c r="A37" t="s">
        <v>43</v>
      </c>
      <c r="B37" t="s">
        <v>243</v>
      </c>
      <c r="C37" t="s">
        <v>410</v>
      </c>
      <c r="D37" t="s">
        <v>413</v>
      </c>
      <c r="E37">
        <v>6</v>
      </c>
      <c r="F37" t="s">
        <v>415</v>
      </c>
      <c r="G37">
        <v>43377</v>
      </c>
      <c r="H37" t="s">
        <v>421</v>
      </c>
      <c r="I37" s="12" t="str">
        <v>Eligible</v>
      </c>
      <c r="J37" s="12" t="str">
        <v>Other</v>
      </c>
      <c r="K37" s="12" t="str">
        <v>General</v>
      </c>
      <c r="L37" s="12" t="str">
        <v>Regular</v>
      </c>
      <c r="M37" s="12" t="str">
        <v>OK</v>
      </c>
      <c r="N37" s="12" t="str">
        <v>Junior</v>
      </c>
      <c r="O37" s="12" t="str">
        <v>Metro</v>
      </c>
      <c r="P37" s="12" t="str">
        <v>Standard</v>
      </c>
      <c r="Q37" s="12" t="str">
        <v>Mid/Short-Term</v>
      </c>
      <c r="R37" s="12">
        <f t="shared" si="0"/>
        <v>86</v>
      </c>
      <c r="S37" s="12">
        <f t="shared" si="1"/>
        <v>43</v>
      </c>
      <c r="T37" s="12">
        <v>8675.4</v>
      </c>
      <c r="U37" s="12" t="str">
        <v>Earning ₹43k</v>
      </c>
      <c r="V37" s="12">
        <v>7230</v>
      </c>
      <c r="W37" s="12" t="str">
        <v>Review</v>
      </c>
    </row>
    <row r="38" spans="1:23" x14ac:dyDescent="0.3">
      <c r="A38" t="s">
        <v>44</v>
      </c>
      <c r="B38" t="s">
        <v>244</v>
      </c>
      <c r="C38" t="s">
        <v>410</v>
      </c>
      <c r="D38" t="s">
        <v>413</v>
      </c>
      <c r="E38">
        <v>1</v>
      </c>
      <c r="F38" t="s">
        <v>416</v>
      </c>
      <c r="G38">
        <v>123741</v>
      </c>
      <c r="H38" t="s">
        <v>421</v>
      </c>
      <c r="I38" s="12" t="str">
        <v>Eligible</v>
      </c>
      <c r="J38" s="12" t="str">
        <v>Other</v>
      </c>
      <c r="K38" s="12" t="str">
        <v>General</v>
      </c>
      <c r="L38" s="12" t="str">
        <v>High Earner</v>
      </c>
      <c r="M38" s="12" t="str">
        <v>OK</v>
      </c>
      <c r="N38" s="12" t="str">
        <v>Experienced</v>
      </c>
      <c r="O38" s="12" t="str">
        <v>Non-Metro</v>
      </c>
      <c r="P38" s="12" t="str">
        <v>Standard</v>
      </c>
      <c r="Q38" s="12" t="str">
        <v>Mid/Short-Term</v>
      </c>
      <c r="R38" s="12">
        <f t="shared" si="0"/>
        <v>85</v>
      </c>
      <c r="S38" s="12">
        <f t="shared" si="1"/>
        <v>43</v>
      </c>
      <c r="T38" s="12">
        <v>24748.2</v>
      </c>
      <c r="U38" s="12" t="str">
        <v>Earning ₹124k</v>
      </c>
      <c r="V38" s="12">
        <v>123741</v>
      </c>
      <c r="W38" s="12" t="str">
        <v>Review</v>
      </c>
    </row>
    <row r="39" spans="1:23" x14ac:dyDescent="0.3">
      <c r="A39" t="s">
        <v>45</v>
      </c>
      <c r="B39" t="s">
        <v>245</v>
      </c>
      <c r="C39" t="s">
        <v>408</v>
      </c>
      <c r="D39" t="s">
        <v>413</v>
      </c>
      <c r="E39">
        <v>2</v>
      </c>
      <c r="F39" t="s">
        <v>417</v>
      </c>
      <c r="G39">
        <v>129523</v>
      </c>
      <c r="H39" t="s">
        <v>421</v>
      </c>
      <c r="I39" s="12" t="str">
        <v>Eligible</v>
      </c>
      <c r="J39" s="12" t="str">
        <v>Other</v>
      </c>
      <c r="K39" s="12" t="str">
        <v>Target Role</v>
      </c>
      <c r="L39" s="12" t="str">
        <v>High Earner</v>
      </c>
      <c r="M39" s="12" t="str">
        <v>OK</v>
      </c>
      <c r="N39" s="12" t="str">
        <v>Experienced</v>
      </c>
      <c r="O39" s="12" t="str">
        <v>Metro</v>
      </c>
      <c r="P39" s="12" t="str">
        <v>Standard</v>
      </c>
      <c r="Q39" s="12" t="str">
        <v>Mid/Short-Term</v>
      </c>
      <c r="R39" s="12">
        <f t="shared" si="0"/>
        <v>84</v>
      </c>
      <c r="S39" s="12">
        <f t="shared" si="1"/>
        <v>43</v>
      </c>
      <c r="T39" s="12">
        <v>25904.600000000002</v>
      </c>
      <c r="U39" s="12" t="str">
        <v>Earning ₹130k</v>
      </c>
      <c r="V39" s="12">
        <v>64762</v>
      </c>
      <c r="W39" s="12" t="str">
        <v>Review</v>
      </c>
    </row>
    <row r="40" spans="1:23" x14ac:dyDescent="0.3">
      <c r="A40" t="s">
        <v>46</v>
      </c>
      <c r="B40" t="s">
        <v>246</v>
      </c>
      <c r="C40" t="s">
        <v>412</v>
      </c>
      <c r="D40" t="s">
        <v>414</v>
      </c>
      <c r="E40">
        <v>26</v>
      </c>
      <c r="F40" t="s">
        <v>416</v>
      </c>
      <c r="G40">
        <v>69330</v>
      </c>
      <c r="H40" t="s">
        <v>421</v>
      </c>
      <c r="I40" s="12" t="str">
        <v>Eligible</v>
      </c>
      <c r="J40" s="12" t="str">
        <v>Senior Permanent</v>
      </c>
      <c r="K40" s="12" t="str">
        <v>General</v>
      </c>
      <c r="L40" s="12" t="str">
        <v>Regular</v>
      </c>
      <c r="M40" s="12" t="str">
        <v>OK</v>
      </c>
      <c r="N40" s="12" t="str">
        <v>Experienced</v>
      </c>
      <c r="O40" s="12" t="str">
        <v>Non-Metro</v>
      </c>
      <c r="P40" s="12" t="str">
        <v>Standard</v>
      </c>
      <c r="Q40" s="12" t="str">
        <v>Long-Term</v>
      </c>
      <c r="R40" s="12">
        <f t="shared" si="0"/>
        <v>83</v>
      </c>
      <c r="S40" s="12">
        <f t="shared" si="1"/>
        <v>43</v>
      </c>
      <c r="T40" s="12">
        <v>13866</v>
      </c>
      <c r="U40" s="12" t="str">
        <v>Earning ₹69k</v>
      </c>
      <c r="V40" s="12">
        <v>2667</v>
      </c>
      <c r="W40" s="12" t="str">
        <v>Review</v>
      </c>
    </row>
    <row r="41" spans="1:23" x14ac:dyDescent="0.3">
      <c r="A41" t="s">
        <v>47</v>
      </c>
      <c r="B41" t="s">
        <v>247</v>
      </c>
      <c r="C41" t="s">
        <v>410</v>
      </c>
      <c r="D41" t="s">
        <v>414</v>
      </c>
      <c r="E41">
        <v>18</v>
      </c>
      <c r="F41" t="s">
        <v>416</v>
      </c>
      <c r="G41">
        <v>59375</v>
      </c>
      <c r="H41" t="s">
        <v>420</v>
      </c>
      <c r="I41" s="12" t="str">
        <v>Not Eligible</v>
      </c>
      <c r="J41" s="12" t="str">
        <v>Senior Permanent</v>
      </c>
      <c r="K41" s="12" t="str">
        <v>General</v>
      </c>
      <c r="L41" s="12" t="str">
        <v>Regular</v>
      </c>
      <c r="M41" s="12" t="str">
        <v>OK</v>
      </c>
      <c r="N41" s="12" t="str">
        <v>Experienced</v>
      </c>
      <c r="O41" s="12" t="str">
        <v>Non-Metro</v>
      </c>
      <c r="P41" s="12" t="str">
        <v>Standard</v>
      </c>
      <c r="Q41" s="12" t="str">
        <v>Long-Term</v>
      </c>
      <c r="R41" s="12">
        <f t="shared" si="0"/>
        <v>82</v>
      </c>
      <c r="S41" s="12">
        <f t="shared" si="1"/>
        <v>43</v>
      </c>
      <c r="T41" s="12">
        <v>0</v>
      </c>
      <c r="U41" s="12" t="str">
        <v>Earning ₹59k</v>
      </c>
      <c r="V41" s="12">
        <v>3299</v>
      </c>
      <c r="W41" s="12" t="str">
        <v>Review</v>
      </c>
    </row>
    <row r="42" spans="1:23" x14ac:dyDescent="0.3">
      <c r="A42" t="s">
        <v>48</v>
      </c>
      <c r="B42" t="s">
        <v>248</v>
      </c>
      <c r="C42" t="s">
        <v>408</v>
      </c>
      <c r="D42" t="s">
        <v>413</v>
      </c>
      <c r="E42">
        <v>18</v>
      </c>
      <c r="F42" t="s">
        <v>416</v>
      </c>
      <c r="G42">
        <v>34440</v>
      </c>
      <c r="H42" t="s">
        <v>420</v>
      </c>
      <c r="I42" s="12" t="str">
        <v>Not Eligible</v>
      </c>
      <c r="J42" s="12" t="str">
        <v>Other</v>
      </c>
      <c r="K42" s="12" t="str">
        <v>Target Role</v>
      </c>
      <c r="L42" s="12" t="str">
        <v>Regular</v>
      </c>
      <c r="M42" s="12" t="str">
        <v>OK</v>
      </c>
      <c r="N42" s="12" t="str">
        <v>Experienced</v>
      </c>
      <c r="O42" s="12" t="str">
        <v>Non-Metro</v>
      </c>
      <c r="P42" s="12" t="str">
        <v>Low-Pay Contract</v>
      </c>
      <c r="Q42" s="12" t="str">
        <v>Long-Term</v>
      </c>
      <c r="R42" s="12">
        <f t="shared" si="0"/>
        <v>82</v>
      </c>
      <c r="S42" s="12">
        <f t="shared" si="1"/>
        <v>43</v>
      </c>
      <c r="T42" s="12">
        <v>0</v>
      </c>
      <c r="U42" s="12" t="str">
        <v>Earning ₹34k</v>
      </c>
      <c r="V42" s="12">
        <v>1913</v>
      </c>
      <c r="W42" s="12" t="str">
        <v>Review</v>
      </c>
    </row>
    <row r="43" spans="1:23" x14ac:dyDescent="0.3">
      <c r="A43" t="s">
        <v>49</v>
      </c>
      <c r="B43" t="s">
        <v>249</v>
      </c>
      <c r="C43" t="s">
        <v>412</v>
      </c>
      <c r="D43" t="s">
        <v>414</v>
      </c>
      <c r="E43">
        <v>25</v>
      </c>
      <c r="F43" t="s">
        <v>415</v>
      </c>
      <c r="G43">
        <v>123948</v>
      </c>
      <c r="H43" t="s">
        <v>421</v>
      </c>
      <c r="I43" s="12" t="str">
        <v>Eligible</v>
      </c>
      <c r="J43" s="12" t="str">
        <v>Senior Permanent</v>
      </c>
      <c r="K43" s="12" t="str">
        <v>General</v>
      </c>
      <c r="L43" s="12" t="str">
        <v>High Earner</v>
      </c>
      <c r="M43" s="12" t="str">
        <v>OK</v>
      </c>
      <c r="N43" s="12" t="str">
        <v>Experienced</v>
      </c>
      <c r="O43" s="12" t="str">
        <v>Metro</v>
      </c>
      <c r="P43" s="12" t="str">
        <v>Standard</v>
      </c>
      <c r="Q43" s="12" t="str">
        <v>Long-Term</v>
      </c>
      <c r="R43" s="12">
        <f t="shared" si="0"/>
        <v>82</v>
      </c>
      <c r="S43" s="12">
        <f t="shared" si="1"/>
        <v>43</v>
      </c>
      <c r="T43" s="12">
        <v>24789.600000000002</v>
      </c>
      <c r="U43" s="12" t="str">
        <v>Earning ₹124k</v>
      </c>
      <c r="V43" s="12">
        <v>4958</v>
      </c>
      <c r="W43" s="12" t="str">
        <v>Promotable</v>
      </c>
    </row>
    <row r="44" spans="1:23" x14ac:dyDescent="0.3">
      <c r="A44" t="s">
        <v>50</v>
      </c>
      <c r="B44" t="s">
        <v>250</v>
      </c>
      <c r="C44" t="s">
        <v>409</v>
      </c>
      <c r="D44" t="s">
        <v>414</v>
      </c>
      <c r="E44">
        <v>12</v>
      </c>
      <c r="F44" t="s">
        <v>419</v>
      </c>
      <c r="G44">
        <v>64605</v>
      </c>
      <c r="H44" t="s">
        <v>420</v>
      </c>
      <c r="I44" s="12" t="str">
        <v>Not Eligible</v>
      </c>
      <c r="J44" s="12" t="str">
        <v>Senior Permanent</v>
      </c>
      <c r="K44" s="12" t="str">
        <v>General</v>
      </c>
      <c r="L44" s="12" t="str">
        <v>Regular</v>
      </c>
      <c r="M44" s="12" t="str">
        <v>OK</v>
      </c>
      <c r="N44" s="12" t="str">
        <v>Experienced</v>
      </c>
      <c r="O44" s="12" t="str">
        <v>Metro</v>
      </c>
      <c r="P44" s="12" t="str">
        <v>Standard</v>
      </c>
      <c r="Q44" s="12" t="str">
        <v>Mid/Short-Term</v>
      </c>
      <c r="R44" s="12">
        <f t="shared" si="0"/>
        <v>81</v>
      </c>
      <c r="S44" s="12">
        <f t="shared" si="1"/>
        <v>42</v>
      </c>
      <c r="T44" s="12">
        <v>0</v>
      </c>
      <c r="U44" s="12" t="str">
        <v>Earning ₹65k</v>
      </c>
      <c r="V44" s="12">
        <v>5384</v>
      </c>
      <c r="W44" s="12" t="str">
        <v>Review</v>
      </c>
    </row>
    <row r="45" spans="1:23" x14ac:dyDescent="0.3">
      <c r="A45" t="s">
        <v>51</v>
      </c>
      <c r="B45" t="s">
        <v>251</v>
      </c>
      <c r="C45" t="s">
        <v>411</v>
      </c>
      <c r="D45" t="s">
        <v>414</v>
      </c>
      <c r="E45">
        <v>16</v>
      </c>
      <c r="F45" t="s">
        <v>419</v>
      </c>
      <c r="G45">
        <v>73905</v>
      </c>
      <c r="I45" s="12" t="str">
        <v>Not Eligible</v>
      </c>
      <c r="J45" s="12" t="str">
        <v>Senior Permanent</v>
      </c>
      <c r="K45" s="12" t="str">
        <v>General</v>
      </c>
      <c r="L45" s="12" t="str">
        <v>Regular</v>
      </c>
      <c r="M45" s="12" t="str">
        <v>Pending Info</v>
      </c>
      <c r="N45" s="12" t="str">
        <v>Experienced</v>
      </c>
      <c r="O45" s="12" t="str">
        <v>Metro</v>
      </c>
      <c r="P45" s="12" t="str">
        <v>Standard</v>
      </c>
      <c r="Q45" s="12" t="str">
        <v>Long-Term</v>
      </c>
      <c r="R45" s="12">
        <f t="shared" si="0"/>
        <v>81</v>
      </c>
      <c r="S45" s="12">
        <f t="shared" si="1"/>
        <v>42</v>
      </c>
      <c r="T45" s="12">
        <v>0</v>
      </c>
      <c r="U45" s="12" t="str">
        <v>Earning ₹74k</v>
      </c>
      <c r="V45" s="12">
        <v>4619</v>
      </c>
      <c r="W45" s="12" t="str">
        <v>Review</v>
      </c>
    </row>
    <row r="46" spans="1:23" x14ac:dyDescent="0.3">
      <c r="A46" t="s">
        <v>52</v>
      </c>
      <c r="B46" t="s">
        <v>252</v>
      </c>
      <c r="C46" t="s">
        <v>412</v>
      </c>
      <c r="D46" t="s">
        <v>414</v>
      </c>
      <c r="E46">
        <v>25</v>
      </c>
      <c r="F46" t="s">
        <v>415</v>
      </c>
      <c r="G46">
        <v>25098</v>
      </c>
      <c r="H46" t="s">
        <v>420</v>
      </c>
      <c r="I46" s="12" t="str">
        <v>Not Eligible</v>
      </c>
      <c r="J46" s="12" t="str">
        <v>Senior Permanent</v>
      </c>
      <c r="K46" s="12" t="str">
        <v>General</v>
      </c>
      <c r="L46" s="12" t="str">
        <v>Regular</v>
      </c>
      <c r="M46" s="12" t="str">
        <v>OK</v>
      </c>
      <c r="N46" s="12" t="str">
        <v>Experienced</v>
      </c>
      <c r="O46" s="12" t="str">
        <v>Metro</v>
      </c>
      <c r="P46" s="12" t="str">
        <v>Standard</v>
      </c>
      <c r="Q46" s="12" t="str">
        <v>Long-Term</v>
      </c>
      <c r="R46" s="12">
        <f t="shared" si="0"/>
        <v>81</v>
      </c>
      <c r="S46" s="12">
        <f t="shared" si="1"/>
        <v>42</v>
      </c>
      <c r="T46" s="12">
        <v>0</v>
      </c>
      <c r="U46" s="12" t="str">
        <v>Earning ₹25k</v>
      </c>
      <c r="V46" s="12">
        <v>1004</v>
      </c>
      <c r="W46" s="12" t="str">
        <v>Review</v>
      </c>
    </row>
    <row r="47" spans="1:23" x14ac:dyDescent="0.3">
      <c r="A47" t="s">
        <v>53</v>
      </c>
      <c r="B47" t="s">
        <v>253</v>
      </c>
      <c r="C47" t="s">
        <v>410</v>
      </c>
      <c r="D47" t="s">
        <v>413</v>
      </c>
      <c r="E47">
        <v>19</v>
      </c>
      <c r="F47" t="s">
        <v>418</v>
      </c>
      <c r="G47">
        <v>109875</v>
      </c>
      <c r="H47" t="s">
        <v>421</v>
      </c>
      <c r="I47" s="12" t="str">
        <v>Eligible</v>
      </c>
      <c r="J47" s="12" t="str">
        <v>Other</v>
      </c>
      <c r="K47" s="12" t="str">
        <v>General</v>
      </c>
      <c r="L47" s="12" t="str">
        <v>High Earner</v>
      </c>
      <c r="M47" s="12" t="str">
        <v>OK</v>
      </c>
      <c r="N47" s="12" t="str">
        <v>Experienced</v>
      </c>
      <c r="O47" s="12" t="str">
        <v>Non-Metro</v>
      </c>
      <c r="P47" s="12" t="str">
        <v>Standard</v>
      </c>
      <c r="Q47" s="12" t="str">
        <v>Long-Term</v>
      </c>
      <c r="R47" s="12">
        <f t="shared" si="0"/>
        <v>81</v>
      </c>
      <c r="S47" s="12">
        <f t="shared" si="1"/>
        <v>42</v>
      </c>
      <c r="T47" s="12">
        <v>21975</v>
      </c>
      <c r="U47" s="12" t="str">
        <v>Earning ₹110k</v>
      </c>
      <c r="V47" s="12">
        <v>5783</v>
      </c>
      <c r="W47" s="12" t="str">
        <v>Promotable</v>
      </c>
    </row>
    <row r="48" spans="1:23" x14ac:dyDescent="0.3">
      <c r="A48" t="s">
        <v>54</v>
      </c>
      <c r="B48" t="s">
        <v>254</v>
      </c>
      <c r="C48" t="s">
        <v>409</v>
      </c>
      <c r="D48" t="s">
        <v>414</v>
      </c>
      <c r="E48">
        <v>27</v>
      </c>
      <c r="F48" t="s">
        <v>419</v>
      </c>
      <c r="G48">
        <v>41532</v>
      </c>
      <c r="H48" t="s">
        <v>420</v>
      </c>
      <c r="I48" s="12" t="str">
        <v>Not Eligible</v>
      </c>
      <c r="J48" s="12" t="str">
        <v>Senior Permanent</v>
      </c>
      <c r="K48" s="12" t="str">
        <v>General</v>
      </c>
      <c r="L48" s="12" t="str">
        <v>Regular</v>
      </c>
      <c r="M48" s="12" t="str">
        <v>OK</v>
      </c>
      <c r="N48" s="12" t="str">
        <v>Experienced</v>
      </c>
      <c r="O48" s="12" t="str">
        <v>Metro</v>
      </c>
      <c r="P48" s="12" t="str">
        <v>Standard</v>
      </c>
      <c r="Q48" s="12" t="str">
        <v>Long-Term</v>
      </c>
      <c r="R48" s="12">
        <f t="shared" si="0"/>
        <v>80</v>
      </c>
      <c r="S48" s="12">
        <f t="shared" si="1"/>
        <v>42</v>
      </c>
      <c r="T48" s="12">
        <v>0</v>
      </c>
      <c r="U48" s="12" t="str">
        <v>Earning ₹42k</v>
      </c>
      <c r="V48" s="12">
        <v>1538</v>
      </c>
      <c r="W48" s="12" t="str">
        <v>Review</v>
      </c>
    </row>
    <row r="49" spans="1:23" x14ac:dyDescent="0.3">
      <c r="A49" t="s">
        <v>55</v>
      </c>
      <c r="B49" t="s">
        <v>255</v>
      </c>
      <c r="C49" t="s">
        <v>411</v>
      </c>
      <c r="D49" t="s">
        <v>413</v>
      </c>
      <c r="E49">
        <v>18</v>
      </c>
      <c r="F49" t="s">
        <v>415</v>
      </c>
      <c r="G49">
        <v>87675</v>
      </c>
      <c r="H49" t="s">
        <v>420</v>
      </c>
      <c r="I49" s="12" t="str">
        <v>Not Eligible</v>
      </c>
      <c r="J49" s="12" t="str">
        <v>Other</v>
      </c>
      <c r="K49" s="12" t="str">
        <v>General</v>
      </c>
      <c r="L49" s="12" t="str">
        <v>Regular</v>
      </c>
      <c r="M49" s="12" t="str">
        <v>OK</v>
      </c>
      <c r="N49" s="12" t="str">
        <v>Experienced</v>
      </c>
      <c r="O49" s="12" t="str">
        <v>Metro</v>
      </c>
      <c r="P49" s="12" t="str">
        <v>Standard</v>
      </c>
      <c r="Q49" s="12" t="str">
        <v>Long-Term</v>
      </c>
      <c r="R49" s="12">
        <f t="shared" si="0"/>
        <v>80</v>
      </c>
      <c r="S49" s="12">
        <f t="shared" si="1"/>
        <v>42</v>
      </c>
      <c r="T49" s="12">
        <v>0</v>
      </c>
      <c r="U49" s="12" t="str">
        <v>Earning ₹88k</v>
      </c>
      <c r="V49" s="12">
        <v>4871</v>
      </c>
      <c r="W49" s="12" t="str">
        <v>Review</v>
      </c>
    </row>
    <row r="50" spans="1:23" x14ac:dyDescent="0.3">
      <c r="A50" t="s">
        <v>56</v>
      </c>
      <c r="B50" t="s">
        <v>256</v>
      </c>
      <c r="C50" t="s">
        <v>410</v>
      </c>
      <c r="D50" t="s">
        <v>413</v>
      </c>
      <c r="E50">
        <v>24</v>
      </c>
      <c r="F50" t="s">
        <v>415</v>
      </c>
      <c r="G50">
        <v>127752</v>
      </c>
      <c r="H50" t="s">
        <v>420</v>
      </c>
      <c r="I50" s="12" t="str">
        <v>Not Eligible</v>
      </c>
      <c r="J50" s="12" t="str">
        <v>Other</v>
      </c>
      <c r="K50" s="12" t="str">
        <v>General</v>
      </c>
      <c r="L50" s="12" t="str">
        <v>High Earner</v>
      </c>
      <c r="M50" s="12" t="str">
        <v>OK</v>
      </c>
      <c r="N50" s="12" t="str">
        <v>Experienced</v>
      </c>
      <c r="O50" s="12" t="str">
        <v>Metro</v>
      </c>
      <c r="P50" s="12" t="str">
        <v>Standard</v>
      </c>
      <c r="Q50" s="12" t="str">
        <v>Long-Term</v>
      </c>
      <c r="R50" s="12">
        <f t="shared" si="0"/>
        <v>80</v>
      </c>
      <c r="S50" s="12">
        <f t="shared" si="1"/>
        <v>42</v>
      </c>
      <c r="T50" s="12">
        <v>0</v>
      </c>
      <c r="U50" s="12" t="str">
        <v>Earning ₹128k</v>
      </c>
      <c r="V50" s="12">
        <v>5323</v>
      </c>
      <c r="W50" s="12" t="str">
        <v>Promotable</v>
      </c>
    </row>
    <row r="51" spans="1:23" x14ac:dyDescent="0.3">
      <c r="A51" t="s">
        <v>57</v>
      </c>
      <c r="B51" t="s">
        <v>257</v>
      </c>
      <c r="C51" t="s">
        <v>411</v>
      </c>
      <c r="D51" t="s">
        <v>414</v>
      </c>
      <c r="E51">
        <v>22</v>
      </c>
      <c r="F51" t="s">
        <v>417</v>
      </c>
      <c r="G51">
        <v>146955</v>
      </c>
      <c r="I51" s="12" t="str">
        <v>Not Eligible</v>
      </c>
      <c r="J51" s="12" t="str">
        <v>Senior Permanent</v>
      </c>
      <c r="K51" s="12" t="str">
        <v>Target Role</v>
      </c>
      <c r="L51" s="12" t="str">
        <v>High Earner</v>
      </c>
      <c r="M51" s="12" t="str">
        <v>Pending Info</v>
      </c>
      <c r="N51" s="12" t="str">
        <v>Experienced</v>
      </c>
      <c r="O51" s="12" t="str">
        <v>Metro</v>
      </c>
      <c r="P51" s="12" t="str">
        <v>Standard</v>
      </c>
      <c r="Q51" s="12" t="str">
        <v>Long-Term</v>
      </c>
      <c r="R51" s="12">
        <f t="shared" si="0"/>
        <v>80</v>
      </c>
      <c r="S51" s="12">
        <f t="shared" si="1"/>
        <v>42</v>
      </c>
      <c r="T51" s="12">
        <v>0</v>
      </c>
      <c r="U51" s="12" t="str">
        <v>Earning ₹147k</v>
      </c>
      <c r="V51" s="12">
        <v>6680</v>
      </c>
      <c r="W51" s="12" t="str">
        <v>Promotable</v>
      </c>
    </row>
    <row r="52" spans="1:23" x14ac:dyDescent="0.3">
      <c r="A52" t="s">
        <v>58</v>
      </c>
      <c r="B52" t="s">
        <v>258</v>
      </c>
      <c r="C52" t="s">
        <v>412</v>
      </c>
      <c r="D52" t="s">
        <v>414</v>
      </c>
      <c r="E52">
        <v>16</v>
      </c>
      <c r="F52" t="s">
        <v>416</v>
      </c>
      <c r="G52">
        <v>42060</v>
      </c>
      <c r="H52" t="s">
        <v>420</v>
      </c>
      <c r="I52" s="12" t="str">
        <v>Not Eligible</v>
      </c>
      <c r="J52" s="12" t="str">
        <v>Senior Permanent</v>
      </c>
      <c r="K52" s="12" t="str">
        <v>General</v>
      </c>
      <c r="L52" s="12" t="str">
        <v>Regular</v>
      </c>
      <c r="M52" s="12" t="str">
        <v>OK</v>
      </c>
      <c r="N52" s="12" t="str">
        <v>Experienced</v>
      </c>
      <c r="O52" s="12" t="str">
        <v>Non-Metro</v>
      </c>
      <c r="P52" s="12" t="str">
        <v>Standard</v>
      </c>
      <c r="Q52" s="12" t="str">
        <v>Long-Term</v>
      </c>
      <c r="R52" s="12">
        <f t="shared" si="0"/>
        <v>80</v>
      </c>
      <c r="S52" s="12">
        <f t="shared" si="1"/>
        <v>41</v>
      </c>
      <c r="T52" s="12">
        <v>0</v>
      </c>
      <c r="U52" s="12" t="str">
        <v>Earning ₹42k</v>
      </c>
      <c r="V52" s="12">
        <v>2629</v>
      </c>
      <c r="W52" s="12" t="str">
        <v>Review</v>
      </c>
    </row>
    <row r="53" spans="1:23" x14ac:dyDescent="0.3">
      <c r="A53" t="s">
        <v>59</v>
      </c>
      <c r="B53" t="s">
        <v>259</v>
      </c>
      <c r="C53" t="s">
        <v>412</v>
      </c>
      <c r="D53" t="s">
        <v>413</v>
      </c>
      <c r="E53">
        <v>15</v>
      </c>
      <c r="F53" t="s">
        <v>416</v>
      </c>
      <c r="G53">
        <v>118293</v>
      </c>
      <c r="H53" t="s">
        <v>420</v>
      </c>
      <c r="I53" s="12" t="str">
        <v>Not Eligible</v>
      </c>
      <c r="J53" s="12" t="str">
        <v>Other</v>
      </c>
      <c r="K53" s="12" t="str">
        <v>General</v>
      </c>
      <c r="L53" s="12" t="str">
        <v>High Earner</v>
      </c>
      <c r="M53" s="12" t="str">
        <v>OK</v>
      </c>
      <c r="N53" s="12" t="str">
        <v>Experienced</v>
      </c>
      <c r="O53" s="12" t="str">
        <v>Non-Metro</v>
      </c>
      <c r="P53" s="12" t="str">
        <v>Standard</v>
      </c>
      <c r="Q53" s="12" t="str">
        <v>Mid/Short-Term</v>
      </c>
      <c r="R53" s="12">
        <f t="shared" si="0"/>
        <v>80</v>
      </c>
      <c r="S53" s="12">
        <f t="shared" si="1"/>
        <v>41</v>
      </c>
      <c r="T53" s="12">
        <v>0</v>
      </c>
      <c r="U53" s="12" t="str">
        <v>Earning ₹118k</v>
      </c>
      <c r="V53" s="12">
        <v>7886</v>
      </c>
      <c r="W53" s="12" t="str">
        <v>Promotable</v>
      </c>
    </row>
    <row r="54" spans="1:23" x14ac:dyDescent="0.3">
      <c r="A54" t="s">
        <v>60</v>
      </c>
      <c r="B54" t="s">
        <v>260</v>
      </c>
      <c r="C54" t="s">
        <v>408</v>
      </c>
      <c r="D54" t="s">
        <v>413</v>
      </c>
      <c r="E54">
        <v>9</v>
      </c>
      <c r="F54" t="s">
        <v>415</v>
      </c>
      <c r="G54">
        <v>58009</v>
      </c>
      <c r="H54" t="s">
        <v>421</v>
      </c>
      <c r="I54" s="12" t="str">
        <v>Eligible</v>
      </c>
      <c r="J54" s="12" t="str">
        <v>Other</v>
      </c>
      <c r="K54" s="12" t="str">
        <v>Target Role</v>
      </c>
      <c r="L54" s="12" t="str">
        <v>Regular</v>
      </c>
      <c r="M54" s="12" t="str">
        <v>OK</v>
      </c>
      <c r="N54" s="12" t="str">
        <v>Junior</v>
      </c>
      <c r="O54" s="12" t="str">
        <v>Metro</v>
      </c>
      <c r="P54" s="12" t="str">
        <v>Standard</v>
      </c>
      <c r="Q54" s="12" t="str">
        <v>Mid/Short-Term</v>
      </c>
      <c r="R54" s="12">
        <f t="shared" si="0"/>
        <v>80</v>
      </c>
      <c r="S54" s="12">
        <f t="shared" si="1"/>
        <v>41</v>
      </c>
      <c r="T54" s="12">
        <v>11601.800000000001</v>
      </c>
      <c r="U54" s="12" t="str">
        <v>Earning ₹58k</v>
      </c>
      <c r="V54" s="12">
        <v>6445</v>
      </c>
      <c r="W54" s="12" t="str">
        <v>Review</v>
      </c>
    </row>
    <row r="55" spans="1:23" x14ac:dyDescent="0.3">
      <c r="A55" t="s">
        <v>61</v>
      </c>
      <c r="B55" t="s">
        <v>261</v>
      </c>
      <c r="C55" t="s">
        <v>410</v>
      </c>
      <c r="D55" t="s">
        <v>414</v>
      </c>
      <c r="E55">
        <v>29</v>
      </c>
      <c r="F55" t="s">
        <v>415</v>
      </c>
      <c r="G55">
        <v>74693</v>
      </c>
      <c r="H55" t="s">
        <v>421</v>
      </c>
      <c r="I55" s="12" t="str">
        <v>Eligible</v>
      </c>
      <c r="J55" s="12" t="str">
        <v>Senior Permanent</v>
      </c>
      <c r="K55" s="12" t="str">
        <v>General</v>
      </c>
      <c r="L55" s="12" t="str">
        <v>Regular</v>
      </c>
      <c r="M55" s="12" t="str">
        <v>OK</v>
      </c>
      <c r="N55" s="12" t="str">
        <v>Experienced</v>
      </c>
      <c r="O55" s="12" t="str">
        <v>Metro</v>
      </c>
      <c r="P55" s="12" t="str">
        <v>Standard</v>
      </c>
      <c r="Q55" s="12" t="str">
        <v>Long-Term</v>
      </c>
      <c r="R55" s="12">
        <f t="shared" si="0"/>
        <v>79</v>
      </c>
      <c r="S55" s="12">
        <f t="shared" si="1"/>
        <v>41</v>
      </c>
      <c r="T55" s="12">
        <v>14938.6</v>
      </c>
      <c r="U55" s="12" t="str">
        <v>Earning ₹75k</v>
      </c>
      <c r="V55" s="12">
        <v>2576</v>
      </c>
      <c r="W55" s="12" t="str">
        <v>Review</v>
      </c>
    </row>
    <row r="56" spans="1:23" x14ac:dyDescent="0.3">
      <c r="A56" t="s">
        <v>62</v>
      </c>
      <c r="B56" t="s">
        <v>262</v>
      </c>
      <c r="C56" t="s">
        <v>409</v>
      </c>
      <c r="D56" t="s">
        <v>413</v>
      </c>
      <c r="E56">
        <v>29</v>
      </c>
      <c r="F56" t="s">
        <v>418</v>
      </c>
      <c r="G56">
        <v>94746</v>
      </c>
      <c r="H56" t="s">
        <v>421</v>
      </c>
      <c r="I56" s="12" t="str">
        <v>Eligible</v>
      </c>
      <c r="J56" s="12" t="str">
        <v>Other</v>
      </c>
      <c r="K56" s="12" t="str">
        <v>General</v>
      </c>
      <c r="L56" s="12" t="str">
        <v>Regular</v>
      </c>
      <c r="M56" s="12" t="str">
        <v>OK</v>
      </c>
      <c r="N56" s="12" t="str">
        <v>Experienced</v>
      </c>
      <c r="O56" s="12" t="str">
        <v>Non-Metro</v>
      </c>
      <c r="P56" s="12" t="str">
        <v>Standard</v>
      </c>
      <c r="Q56" s="12" t="str">
        <v>Long-Term</v>
      </c>
      <c r="R56" s="12">
        <f t="shared" si="0"/>
        <v>78</v>
      </c>
      <c r="S56" s="12">
        <f t="shared" si="1"/>
        <v>41</v>
      </c>
      <c r="T56" s="12">
        <v>18949.2</v>
      </c>
      <c r="U56" s="12" t="str">
        <v>Earning ₹95k</v>
      </c>
      <c r="V56" s="12">
        <v>3267</v>
      </c>
      <c r="W56" s="12" t="str">
        <v>Promotable</v>
      </c>
    </row>
    <row r="57" spans="1:23" x14ac:dyDescent="0.3">
      <c r="A57" t="s">
        <v>63</v>
      </c>
      <c r="B57" t="s">
        <v>263</v>
      </c>
      <c r="C57" t="s">
        <v>412</v>
      </c>
      <c r="D57" t="s">
        <v>413</v>
      </c>
      <c r="E57">
        <v>12</v>
      </c>
      <c r="F57" t="s">
        <v>415</v>
      </c>
      <c r="G57">
        <v>72712</v>
      </c>
      <c r="H57" t="s">
        <v>420</v>
      </c>
      <c r="I57" s="12" t="str">
        <v>Not Eligible</v>
      </c>
      <c r="J57" s="12" t="str">
        <v>Other</v>
      </c>
      <c r="K57" s="12" t="str">
        <v>General</v>
      </c>
      <c r="L57" s="12" t="str">
        <v>Regular</v>
      </c>
      <c r="M57" s="12" t="str">
        <v>OK</v>
      </c>
      <c r="N57" s="12" t="str">
        <v>Experienced</v>
      </c>
      <c r="O57" s="12" t="str">
        <v>Metro</v>
      </c>
      <c r="P57" s="12" t="str">
        <v>Standard</v>
      </c>
      <c r="Q57" s="12" t="str">
        <v>Mid/Short-Term</v>
      </c>
      <c r="R57" s="12">
        <f t="shared" si="0"/>
        <v>77</v>
      </c>
      <c r="S57" s="12">
        <f t="shared" si="1"/>
        <v>41</v>
      </c>
      <c r="T57" s="12">
        <v>0</v>
      </c>
      <c r="U57" s="12" t="str">
        <v>Earning ₹73k</v>
      </c>
      <c r="V57" s="12">
        <v>6059</v>
      </c>
      <c r="W57" s="12" t="str">
        <v>Review</v>
      </c>
    </row>
    <row r="58" spans="1:23" x14ac:dyDescent="0.3">
      <c r="A58" t="s">
        <v>64</v>
      </c>
      <c r="B58" t="s">
        <v>264</v>
      </c>
      <c r="C58" t="s">
        <v>411</v>
      </c>
      <c r="D58" t="s">
        <v>414</v>
      </c>
      <c r="E58">
        <v>3</v>
      </c>
      <c r="F58" t="s">
        <v>418</v>
      </c>
      <c r="G58">
        <v>62843</v>
      </c>
      <c r="H58" t="s">
        <v>420</v>
      </c>
      <c r="I58" s="12" t="str">
        <v>Not Eligible</v>
      </c>
      <c r="J58" s="12" t="str">
        <v>Other</v>
      </c>
      <c r="K58" s="12" t="str">
        <v>General</v>
      </c>
      <c r="L58" s="12" t="str">
        <v>Regular</v>
      </c>
      <c r="M58" s="12" t="str">
        <v>OK</v>
      </c>
      <c r="N58" s="12" t="str">
        <v>Junior</v>
      </c>
      <c r="O58" s="12" t="str">
        <v>Non-Metro</v>
      </c>
      <c r="P58" s="12" t="str">
        <v>Standard</v>
      </c>
      <c r="Q58" s="12" t="str">
        <v>Mid/Short-Term</v>
      </c>
      <c r="R58" s="12">
        <f t="shared" si="0"/>
        <v>77</v>
      </c>
      <c r="S58" s="12">
        <f t="shared" si="1"/>
        <v>41</v>
      </c>
      <c r="T58" s="12">
        <v>0</v>
      </c>
      <c r="U58" s="12" t="str">
        <v>Earning ₹63k</v>
      </c>
      <c r="V58" s="12">
        <v>20948</v>
      </c>
      <c r="W58" s="12" t="str">
        <v>Review</v>
      </c>
    </row>
    <row r="59" spans="1:23" x14ac:dyDescent="0.3">
      <c r="A59" t="s">
        <v>65</v>
      </c>
      <c r="B59" t="s">
        <v>265</v>
      </c>
      <c r="C59" t="s">
        <v>412</v>
      </c>
      <c r="D59" t="s">
        <v>413</v>
      </c>
      <c r="E59">
        <v>30</v>
      </c>
      <c r="F59" t="s">
        <v>415</v>
      </c>
      <c r="G59">
        <v>133320</v>
      </c>
      <c r="H59" t="s">
        <v>421</v>
      </c>
      <c r="I59" s="12" t="str">
        <v>Eligible</v>
      </c>
      <c r="J59" s="12" t="str">
        <v>Other</v>
      </c>
      <c r="K59" s="12" t="str">
        <v>General</v>
      </c>
      <c r="L59" s="12" t="str">
        <v>High Earner</v>
      </c>
      <c r="M59" s="12" t="str">
        <v>OK</v>
      </c>
      <c r="N59" s="12" t="str">
        <v>Experienced</v>
      </c>
      <c r="O59" s="12" t="str">
        <v>Metro</v>
      </c>
      <c r="P59" s="12" t="str">
        <v>Standard</v>
      </c>
      <c r="Q59" s="12" t="str">
        <v>Long-Term</v>
      </c>
      <c r="R59" s="12">
        <f t="shared" si="0"/>
        <v>77</v>
      </c>
      <c r="S59" s="12">
        <f t="shared" si="1"/>
        <v>41</v>
      </c>
      <c r="T59" s="12">
        <v>26664</v>
      </c>
      <c r="U59" s="12" t="str">
        <v>Earning ₹133k</v>
      </c>
      <c r="V59" s="12">
        <v>4444</v>
      </c>
      <c r="W59" s="12" t="str">
        <v>Promotable</v>
      </c>
    </row>
    <row r="60" spans="1:23" x14ac:dyDescent="0.3">
      <c r="A60" t="s">
        <v>66</v>
      </c>
      <c r="B60" t="s">
        <v>266</v>
      </c>
      <c r="C60" t="s">
        <v>410</v>
      </c>
      <c r="D60" t="s">
        <v>413</v>
      </c>
      <c r="E60">
        <v>28</v>
      </c>
      <c r="F60" t="s">
        <v>418</v>
      </c>
      <c r="G60">
        <v>127499</v>
      </c>
      <c r="H60" t="s">
        <v>420</v>
      </c>
      <c r="I60" s="12" t="str">
        <v>Not Eligible</v>
      </c>
      <c r="J60" s="12" t="str">
        <v>Other</v>
      </c>
      <c r="K60" s="12" t="str">
        <v>General</v>
      </c>
      <c r="L60" s="12" t="str">
        <v>High Earner</v>
      </c>
      <c r="M60" s="12" t="str">
        <v>OK</v>
      </c>
      <c r="N60" s="12" t="str">
        <v>Experienced</v>
      </c>
      <c r="O60" s="12" t="str">
        <v>Non-Metro</v>
      </c>
      <c r="P60" s="12" t="str">
        <v>Standard</v>
      </c>
      <c r="Q60" s="12" t="str">
        <v>Long-Term</v>
      </c>
      <c r="R60" s="12">
        <f t="shared" si="0"/>
        <v>76</v>
      </c>
      <c r="S60" s="12">
        <f t="shared" si="1"/>
        <v>41</v>
      </c>
      <c r="T60" s="12">
        <v>0</v>
      </c>
      <c r="U60" s="12" t="str">
        <v>Earning ₹127k</v>
      </c>
      <c r="V60" s="12">
        <v>4554</v>
      </c>
      <c r="W60" s="12" t="str">
        <v>Promotable</v>
      </c>
    </row>
    <row r="61" spans="1:23" x14ac:dyDescent="0.3">
      <c r="A61" t="s">
        <v>67</v>
      </c>
      <c r="B61" t="s">
        <v>267</v>
      </c>
      <c r="C61" t="s">
        <v>412</v>
      </c>
      <c r="D61" t="s">
        <v>414</v>
      </c>
      <c r="E61">
        <v>28</v>
      </c>
      <c r="F61" t="s">
        <v>417</v>
      </c>
      <c r="G61">
        <v>89574</v>
      </c>
      <c r="H61" t="s">
        <v>420</v>
      </c>
      <c r="I61" s="12" t="str">
        <v>Not Eligible</v>
      </c>
      <c r="J61" s="12" t="str">
        <v>Senior Permanent</v>
      </c>
      <c r="K61" s="12" t="str">
        <v>Target Role</v>
      </c>
      <c r="L61" s="12" t="str">
        <v>Regular</v>
      </c>
      <c r="M61" s="12" t="str">
        <v>OK</v>
      </c>
      <c r="N61" s="12" t="str">
        <v>Experienced</v>
      </c>
      <c r="O61" s="12" t="str">
        <v>Metro</v>
      </c>
      <c r="P61" s="12" t="str">
        <v>Standard</v>
      </c>
      <c r="Q61" s="12" t="str">
        <v>Long-Term</v>
      </c>
      <c r="R61" s="12">
        <f t="shared" si="0"/>
        <v>76</v>
      </c>
      <c r="S61" s="12">
        <f t="shared" si="1"/>
        <v>41</v>
      </c>
      <c r="T61" s="12">
        <v>0</v>
      </c>
      <c r="U61" s="12" t="str">
        <v>Earning ₹90k</v>
      </c>
      <c r="V61" s="12">
        <v>3199</v>
      </c>
      <c r="W61" s="12" t="str">
        <v>Review</v>
      </c>
    </row>
    <row r="62" spans="1:23" x14ac:dyDescent="0.3">
      <c r="A62" t="s">
        <v>68</v>
      </c>
      <c r="B62" t="s">
        <v>268</v>
      </c>
      <c r="C62" t="s">
        <v>412</v>
      </c>
      <c r="D62" t="s">
        <v>413</v>
      </c>
      <c r="E62">
        <v>4</v>
      </c>
      <c r="F62" t="s">
        <v>419</v>
      </c>
      <c r="G62">
        <v>90488</v>
      </c>
      <c r="H62" t="s">
        <v>420</v>
      </c>
      <c r="I62" s="12" t="str">
        <v>Not Eligible</v>
      </c>
      <c r="J62" s="12" t="str">
        <v>Other</v>
      </c>
      <c r="K62" s="12" t="str">
        <v>General</v>
      </c>
      <c r="L62" s="12" t="str">
        <v>Regular</v>
      </c>
      <c r="M62" s="12" t="str">
        <v>OK</v>
      </c>
      <c r="N62" s="12" t="str">
        <v>Experienced</v>
      </c>
      <c r="O62" s="12" t="str">
        <v>Metro</v>
      </c>
      <c r="P62" s="12" t="str">
        <v>Standard</v>
      </c>
      <c r="Q62" s="12" t="str">
        <v>Mid/Short-Term</v>
      </c>
      <c r="R62" s="12">
        <f t="shared" si="0"/>
        <v>76</v>
      </c>
      <c r="S62" s="12">
        <f t="shared" si="1"/>
        <v>40</v>
      </c>
      <c r="T62" s="12">
        <v>0</v>
      </c>
      <c r="U62" s="12" t="str">
        <v>Earning ₹90k</v>
      </c>
      <c r="V62" s="12">
        <v>22622</v>
      </c>
      <c r="W62" s="12" t="str">
        <v>Review</v>
      </c>
    </row>
    <row r="63" spans="1:23" x14ac:dyDescent="0.3">
      <c r="A63" t="s">
        <v>69</v>
      </c>
      <c r="B63" t="s">
        <v>269</v>
      </c>
      <c r="C63" t="s">
        <v>408</v>
      </c>
      <c r="D63" t="s">
        <v>413</v>
      </c>
      <c r="E63">
        <v>3</v>
      </c>
      <c r="F63" t="s">
        <v>415</v>
      </c>
      <c r="G63">
        <v>50799</v>
      </c>
      <c r="H63" t="s">
        <v>421</v>
      </c>
      <c r="I63" s="12" t="str">
        <v>Eligible</v>
      </c>
      <c r="J63" s="12" t="str">
        <v>Other</v>
      </c>
      <c r="K63" s="12" t="str">
        <v>Target Role</v>
      </c>
      <c r="L63" s="12" t="str">
        <v>Regular</v>
      </c>
      <c r="M63" s="12" t="str">
        <v>OK</v>
      </c>
      <c r="N63" s="12" t="str">
        <v>Junior</v>
      </c>
      <c r="O63" s="12" t="str">
        <v>Metro</v>
      </c>
      <c r="P63" s="12" t="str">
        <v>Standard</v>
      </c>
      <c r="Q63" s="12" t="str">
        <v>Mid/Short-Term</v>
      </c>
      <c r="R63" s="12">
        <f t="shared" si="0"/>
        <v>76</v>
      </c>
      <c r="S63" s="12">
        <f t="shared" si="1"/>
        <v>40</v>
      </c>
      <c r="T63" s="12">
        <v>10159.800000000001</v>
      </c>
      <c r="U63" s="12" t="str">
        <v>Earning ₹51k</v>
      </c>
      <c r="V63" s="12">
        <v>16933</v>
      </c>
      <c r="W63" s="12" t="str">
        <v>Review</v>
      </c>
    </row>
    <row r="64" spans="1:23" x14ac:dyDescent="0.3">
      <c r="A64" t="s">
        <v>70</v>
      </c>
      <c r="B64" t="s">
        <v>270</v>
      </c>
      <c r="C64" t="s">
        <v>409</v>
      </c>
      <c r="D64" t="s">
        <v>413</v>
      </c>
      <c r="E64">
        <v>7</v>
      </c>
      <c r="F64" t="s">
        <v>418</v>
      </c>
      <c r="G64">
        <v>146699</v>
      </c>
      <c r="H64" t="s">
        <v>421</v>
      </c>
      <c r="I64" s="12" t="str">
        <v>Eligible</v>
      </c>
      <c r="J64" s="12" t="str">
        <v>Other</v>
      </c>
      <c r="K64" s="12" t="str">
        <v>General</v>
      </c>
      <c r="L64" s="12" t="str">
        <v>High Earner</v>
      </c>
      <c r="M64" s="12" t="str">
        <v>OK</v>
      </c>
      <c r="N64" s="12" t="str">
        <v>Experienced</v>
      </c>
      <c r="O64" s="12" t="str">
        <v>Non-Metro</v>
      </c>
      <c r="P64" s="12" t="str">
        <v>Standard</v>
      </c>
      <c r="Q64" s="12" t="str">
        <v>Mid/Short-Term</v>
      </c>
      <c r="R64" s="12">
        <f t="shared" si="0"/>
        <v>75</v>
      </c>
      <c r="S64" s="12">
        <f t="shared" si="1"/>
        <v>40</v>
      </c>
      <c r="T64" s="12">
        <v>29339.800000000003</v>
      </c>
      <c r="U64" s="12" t="str">
        <v>Earning ₹147k</v>
      </c>
      <c r="V64" s="12">
        <v>20957</v>
      </c>
      <c r="W64" s="12" t="str">
        <v>Review</v>
      </c>
    </row>
    <row r="65" spans="1:23" x14ac:dyDescent="0.3">
      <c r="A65" t="s">
        <v>71</v>
      </c>
      <c r="B65" t="s">
        <v>271</v>
      </c>
      <c r="C65" t="s">
        <v>410</v>
      </c>
      <c r="D65" t="s">
        <v>414</v>
      </c>
      <c r="E65">
        <v>9</v>
      </c>
      <c r="F65" t="s">
        <v>416</v>
      </c>
      <c r="G65">
        <v>91107</v>
      </c>
      <c r="H65" t="s">
        <v>420</v>
      </c>
      <c r="I65" s="12" t="str">
        <v>Not Eligible</v>
      </c>
      <c r="J65" s="12" t="str">
        <v>Senior Permanent</v>
      </c>
      <c r="K65" s="12" t="str">
        <v>General</v>
      </c>
      <c r="L65" s="12" t="str">
        <v>Regular</v>
      </c>
      <c r="M65" s="12" t="str">
        <v>OK</v>
      </c>
      <c r="N65" s="12" t="str">
        <v>Experienced</v>
      </c>
      <c r="O65" s="12" t="str">
        <v>Non-Metro</v>
      </c>
      <c r="P65" s="12" t="str">
        <v>Standard</v>
      </c>
      <c r="Q65" s="12" t="str">
        <v>Mid/Short-Term</v>
      </c>
      <c r="R65" s="12">
        <f t="shared" si="0"/>
        <v>74</v>
      </c>
      <c r="S65" s="12">
        <f t="shared" si="1"/>
        <v>40</v>
      </c>
      <c r="T65" s="12">
        <v>0</v>
      </c>
      <c r="U65" s="12" t="str">
        <v>Earning ₹91k</v>
      </c>
      <c r="V65" s="12">
        <v>10123</v>
      </c>
      <c r="W65" s="12" t="str">
        <v>Review</v>
      </c>
    </row>
    <row r="66" spans="1:23" x14ac:dyDescent="0.3">
      <c r="A66" t="s">
        <v>72</v>
      </c>
      <c r="B66" t="s">
        <v>272</v>
      </c>
      <c r="C66" t="s">
        <v>411</v>
      </c>
      <c r="D66" t="s">
        <v>414</v>
      </c>
      <c r="E66">
        <v>30</v>
      </c>
      <c r="F66" t="s">
        <v>416</v>
      </c>
      <c r="G66">
        <v>75963</v>
      </c>
      <c r="H66" t="s">
        <v>421</v>
      </c>
      <c r="I66" s="12" t="str">
        <v>Eligible</v>
      </c>
      <c r="J66" s="12" t="str">
        <v>Senior Permanent</v>
      </c>
      <c r="K66" s="12" t="str">
        <v>General</v>
      </c>
      <c r="L66" s="12" t="str">
        <v>Regular</v>
      </c>
      <c r="M66" s="12" t="str">
        <v>OK</v>
      </c>
      <c r="N66" s="12" t="str">
        <v>Experienced</v>
      </c>
      <c r="O66" s="12" t="str">
        <v>Non-Metro</v>
      </c>
      <c r="P66" s="12" t="str">
        <v>Standard</v>
      </c>
      <c r="Q66" s="12" t="str">
        <v>Long-Term</v>
      </c>
      <c r="R66" s="12">
        <f t="shared" si="0"/>
        <v>74</v>
      </c>
      <c r="S66" s="12">
        <f t="shared" si="1"/>
        <v>39</v>
      </c>
      <c r="T66" s="12">
        <v>15192.6</v>
      </c>
      <c r="U66" s="12" t="str">
        <v>Earning ₹76k</v>
      </c>
      <c r="V66" s="12">
        <v>2532</v>
      </c>
      <c r="W66" s="12" t="str">
        <v>Review</v>
      </c>
    </row>
    <row r="67" spans="1:23" x14ac:dyDescent="0.3">
      <c r="A67" t="s">
        <v>73</v>
      </c>
      <c r="B67" t="s">
        <v>273</v>
      </c>
      <c r="C67" t="s">
        <v>412</v>
      </c>
      <c r="D67" t="s">
        <v>414</v>
      </c>
      <c r="E67">
        <v>24</v>
      </c>
      <c r="F67" t="s">
        <v>417</v>
      </c>
      <c r="G67">
        <v>72590</v>
      </c>
      <c r="H67" t="s">
        <v>420</v>
      </c>
      <c r="I67" s="12" t="str">
        <v>Not Eligible</v>
      </c>
      <c r="J67" s="12" t="str">
        <v>Senior Permanent</v>
      </c>
      <c r="K67" s="12" t="str">
        <v>Target Role</v>
      </c>
      <c r="L67" s="12" t="str">
        <v>Regular</v>
      </c>
      <c r="M67" s="12" t="str">
        <v>OK</v>
      </c>
      <c r="N67" s="12" t="str">
        <v>Experienced</v>
      </c>
      <c r="O67" s="12" t="str">
        <v>Metro</v>
      </c>
      <c r="P67" s="12" t="str">
        <v>Standard</v>
      </c>
      <c r="Q67" s="12" t="str">
        <v>Long-Term</v>
      </c>
      <c r="R67" s="12">
        <f t="shared" ref="R67:R130" si="2">COUNTIF(H67:H266,"Yes")</f>
        <v>73</v>
      </c>
      <c r="S67" s="12">
        <f t="shared" ref="S67:S130" si="3">COUNTIFS(D67:D266,"Permanent",G67:G266,"&gt;75000")</f>
        <v>38</v>
      </c>
      <c r="T67" s="12">
        <v>0</v>
      </c>
      <c r="U67" s="12" t="str">
        <v>Earning ₹73k</v>
      </c>
      <c r="V67" s="12">
        <v>3025</v>
      </c>
      <c r="W67" s="12" t="str">
        <v>Review</v>
      </c>
    </row>
    <row r="68" spans="1:23" x14ac:dyDescent="0.3">
      <c r="A68" t="s">
        <v>74</v>
      </c>
      <c r="B68" t="s">
        <v>274</v>
      </c>
      <c r="C68" t="s">
        <v>408</v>
      </c>
      <c r="D68" t="s">
        <v>413</v>
      </c>
      <c r="E68">
        <v>11</v>
      </c>
      <c r="F68" t="s">
        <v>416</v>
      </c>
      <c r="G68">
        <v>140891</v>
      </c>
      <c r="H68" t="s">
        <v>421</v>
      </c>
      <c r="I68" s="12" t="str">
        <v>Eligible</v>
      </c>
      <c r="J68" s="12" t="str">
        <v>Other</v>
      </c>
      <c r="K68" s="12" t="str">
        <v>Target Role</v>
      </c>
      <c r="L68" s="12" t="str">
        <v>High Earner</v>
      </c>
      <c r="M68" s="12" t="str">
        <v>OK</v>
      </c>
      <c r="N68" s="12" t="str">
        <v>Experienced</v>
      </c>
      <c r="O68" s="12" t="str">
        <v>Non-Metro</v>
      </c>
      <c r="P68" s="12" t="str">
        <v>Standard</v>
      </c>
      <c r="Q68" s="12" t="str">
        <v>Mid/Short-Term</v>
      </c>
      <c r="R68" s="12">
        <f t="shared" si="2"/>
        <v>73</v>
      </c>
      <c r="S68" s="12">
        <f t="shared" si="3"/>
        <v>38</v>
      </c>
      <c r="T68" s="12">
        <v>28178.2</v>
      </c>
      <c r="U68" s="12" t="str">
        <v>Earning ₹141k</v>
      </c>
      <c r="V68" s="12">
        <v>12808</v>
      </c>
      <c r="W68" s="12" t="str">
        <v>Promotable</v>
      </c>
    </row>
    <row r="69" spans="1:23" x14ac:dyDescent="0.3">
      <c r="A69" t="s">
        <v>75</v>
      </c>
      <c r="B69" t="s">
        <v>275</v>
      </c>
      <c r="C69" t="s">
        <v>410</v>
      </c>
      <c r="D69" t="s">
        <v>413</v>
      </c>
      <c r="E69">
        <v>16</v>
      </c>
      <c r="F69" t="s">
        <v>417</v>
      </c>
      <c r="G69">
        <v>141395</v>
      </c>
      <c r="H69" t="s">
        <v>420</v>
      </c>
      <c r="I69" s="12" t="str">
        <v>Not Eligible</v>
      </c>
      <c r="J69" s="12" t="str">
        <v>Other</v>
      </c>
      <c r="K69" s="12" t="str">
        <v>Target Role</v>
      </c>
      <c r="L69" s="12" t="str">
        <v>High Earner</v>
      </c>
      <c r="M69" s="12" t="str">
        <v>OK</v>
      </c>
      <c r="N69" s="12" t="str">
        <v>Experienced</v>
      </c>
      <c r="O69" s="12" t="str">
        <v>Metro</v>
      </c>
      <c r="P69" s="12" t="str">
        <v>Standard</v>
      </c>
      <c r="Q69" s="12" t="str">
        <v>Long-Term</v>
      </c>
      <c r="R69" s="12">
        <f t="shared" si="2"/>
        <v>72</v>
      </c>
      <c r="S69" s="12">
        <f t="shared" si="3"/>
        <v>38</v>
      </c>
      <c r="T69" s="12">
        <v>0</v>
      </c>
      <c r="U69" s="12" t="str">
        <v>Earning ₹141k</v>
      </c>
      <c r="V69" s="12">
        <v>8837</v>
      </c>
      <c r="W69" s="12" t="str">
        <v>Promotable</v>
      </c>
    </row>
    <row r="70" spans="1:23" x14ac:dyDescent="0.3">
      <c r="A70" t="s">
        <v>76</v>
      </c>
      <c r="B70" t="s">
        <v>276</v>
      </c>
      <c r="C70" t="s">
        <v>408</v>
      </c>
      <c r="D70" t="s">
        <v>414</v>
      </c>
      <c r="E70">
        <v>16</v>
      </c>
      <c r="F70" t="s">
        <v>418</v>
      </c>
      <c r="G70">
        <v>120257</v>
      </c>
      <c r="H70" t="s">
        <v>421</v>
      </c>
      <c r="I70" s="12" t="str">
        <v>Eligible</v>
      </c>
      <c r="J70" s="12" t="str">
        <v>Senior Permanent</v>
      </c>
      <c r="K70" s="12" t="str">
        <v>Target Role</v>
      </c>
      <c r="L70" s="12" t="str">
        <v>High Earner</v>
      </c>
      <c r="M70" s="12" t="str">
        <v>OK</v>
      </c>
      <c r="N70" s="12" t="str">
        <v>Experienced</v>
      </c>
      <c r="O70" s="12" t="str">
        <v>Non-Metro</v>
      </c>
      <c r="P70" s="12" t="str">
        <v>Standard</v>
      </c>
      <c r="Q70" s="12" t="str">
        <v>Long-Term</v>
      </c>
      <c r="R70" s="12">
        <f t="shared" si="2"/>
        <v>72</v>
      </c>
      <c r="S70" s="12">
        <f t="shared" si="3"/>
        <v>38</v>
      </c>
      <c r="T70" s="12">
        <v>24051.4</v>
      </c>
      <c r="U70" s="12" t="str">
        <v>Earning ₹120k</v>
      </c>
      <c r="V70" s="12">
        <v>7516</v>
      </c>
      <c r="W70" s="12" t="str">
        <v>Promotable</v>
      </c>
    </row>
    <row r="71" spans="1:23" x14ac:dyDescent="0.3">
      <c r="A71" t="s">
        <v>77</v>
      </c>
      <c r="B71" t="s">
        <v>277</v>
      </c>
      <c r="C71" t="s">
        <v>411</v>
      </c>
      <c r="D71" t="s">
        <v>414</v>
      </c>
      <c r="E71">
        <v>4</v>
      </c>
      <c r="F71" t="s">
        <v>418</v>
      </c>
      <c r="G71">
        <v>112279</v>
      </c>
      <c r="H71" t="s">
        <v>420</v>
      </c>
      <c r="I71" s="12" t="str">
        <v>Not Eligible</v>
      </c>
      <c r="J71" s="12" t="str">
        <v>Other</v>
      </c>
      <c r="K71" s="12" t="str">
        <v>General</v>
      </c>
      <c r="L71" s="12" t="str">
        <v>High Earner</v>
      </c>
      <c r="M71" s="12" t="str">
        <v>OK</v>
      </c>
      <c r="N71" s="12" t="str">
        <v>Experienced</v>
      </c>
      <c r="O71" s="12" t="str">
        <v>Non-Metro</v>
      </c>
      <c r="P71" s="12" t="str">
        <v>Standard</v>
      </c>
      <c r="Q71" s="12" t="str">
        <v>Mid/Short-Term</v>
      </c>
      <c r="R71" s="12">
        <f t="shared" si="2"/>
        <v>71</v>
      </c>
      <c r="S71" s="12">
        <f t="shared" si="3"/>
        <v>37</v>
      </c>
      <c r="T71" s="12">
        <v>0</v>
      </c>
      <c r="U71" s="12" t="str">
        <v>Earning ₹112k</v>
      </c>
      <c r="V71" s="12">
        <v>28070</v>
      </c>
      <c r="W71" s="12" t="str">
        <v>Review</v>
      </c>
    </row>
    <row r="72" spans="1:23" x14ac:dyDescent="0.3">
      <c r="A72" t="s">
        <v>78</v>
      </c>
      <c r="B72" t="s">
        <v>278</v>
      </c>
      <c r="C72" t="s">
        <v>411</v>
      </c>
      <c r="D72" t="s">
        <v>414</v>
      </c>
      <c r="E72">
        <v>21</v>
      </c>
      <c r="F72" t="s">
        <v>415</v>
      </c>
      <c r="G72">
        <v>147777</v>
      </c>
      <c r="H72" t="s">
        <v>421</v>
      </c>
      <c r="I72" s="12" t="str">
        <v>Eligible</v>
      </c>
      <c r="J72" s="12" t="str">
        <v>Senior Permanent</v>
      </c>
      <c r="K72" s="12" t="str">
        <v>General</v>
      </c>
      <c r="L72" s="12" t="str">
        <v>High Earner</v>
      </c>
      <c r="M72" s="12" t="str">
        <v>OK</v>
      </c>
      <c r="N72" s="12" t="str">
        <v>Experienced</v>
      </c>
      <c r="O72" s="12" t="str">
        <v>Metro</v>
      </c>
      <c r="P72" s="12" t="str">
        <v>Standard</v>
      </c>
      <c r="Q72" s="12" t="str">
        <v>Long-Term</v>
      </c>
      <c r="R72" s="12">
        <f t="shared" si="2"/>
        <v>71</v>
      </c>
      <c r="S72" s="12">
        <f t="shared" si="3"/>
        <v>36</v>
      </c>
      <c r="T72" s="12">
        <v>29555.4</v>
      </c>
      <c r="U72" s="12" t="str">
        <v>Earning ₹148k</v>
      </c>
      <c r="V72" s="12">
        <v>7037</v>
      </c>
      <c r="W72" s="12" t="str">
        <v>Promotable</v>
      </c>
    </row>
    <row r="73" spans="1:23" x14ac:dyDescent="0.3">
      <c r="A73" t="s">
        <v>79</v>
      </c>
      <c r="B73" t="s">
        <v>279</v>
      </c>
      <c r="C73" t="s">
        <v>410</v>
      </c>
      <c r="D73" t="s">
        <v>413</v>
      </c>
      <c r="E73">
        <v>13</v>
      </c>
      <c r="F73" t="s">
        <v>419</v>
      </c>
      <c r="G73">
        <v>27287</v>
      </c>
      <c r="H73" t="s">
        <v>421</v>
      </c>
      <c r="I73" s="12" t="str">
        <v>Eligible</v>
      </c>
      <c r="J73" s="12" t="str">
        <v>Other</v>
      </c>
      <c r="K73" s="12" t="str">
        <v>General</v>
      </c>
      <c r="L73" s="12" t="str">
        <v>Regular</v>
      </c>
      <c r="M73" s="12" t="str">
        <v>OK</v>
      </c>
      <c r="N73" s="12" t="str">
        <v>Experienced</v>
      </c>
      <c r="O73" s="12" t="str">
        <v>Metro</v>
      </c>
      <c r="P73" s="12" t="str">
        <v>Low-Pay Contract</v>
      </c>
      <c r="Q73" s="12" t="str">
        <v>Mid/Short-Term</v>
      </c>
      <c r="R73" s="12">
        <f t="shared" si="2"/>
        <v>70</v>
      </c>
      <c r="S73" s="12">
        <f t="shared" si="3"/>
        <v>35</v>
      </c>
      <c r="T73" s="12">
        <v>5457.4000000000005</v>
      </c>
      <c r="U73" s="12" t="str">
        <v>Earning ₹27k</v>
      </c>
      <c r="V73" s="12">
        <v>2099</v>
      </c>
      <c r="W73" s="12" t="str">
        <v>Review</v>
      </c>
    </row>
    <row r="74" spans="1:23" x14ac:dyDescent="0.3">
      <c r="A74" t="s">
        <v>80</v>
      </c>
      <c r="B74" t="s">
        <v>280</v>
      </c>
      <c r="C74" t="s">
        <v>411</v>
      </c>
      <c r="D74" t="s">
        <v>413</v>
      </c>
      <c r="E74">
        <v>13</v>
      </c>
      <c r="F74" t="s">
        <v>415</v>
      </c>
      <c r="G74">
        <v>69912</v>
      </c>
      <c r="H74" t="s">
        <v>421</v>
      </c>
      <c r="I74" s="12" t="str">
        <v>Eligible</v>
      </c>
      <c r="J74" s="12" t="str">
        <v>Other</v>
      </c>
      <c r="K74" s="12" t="str">
        <v>General</v>
      </c>
      <c r="L74" s="12" t="str">
        <v>Regular</v>
      </c>
      <c r="M74" s="12" t="str">
        <v>OK</v>
      </c>
      <c r="N74" s="12" t="str">
        <v>Experienced</v>
      </c>
      <c r="O74" s="12" t="str">
        <v>Metro</v>
      </c>
      <c r="P74" s="12" t="str">
        <v>Standard</v>
      </c>
      <c r="Q74" s="12" t="str">
        <v>Mid/Short-Term</v>
      </c>
      <c r="R74" s="12">
        <f t="shared" si="2"/>
        <v>69</v>
      </c>
      <c r="S74" s="12">
        <f t="shared" si="3"/>
        <v>35</v>
      </c>
      <c r="T74" s="12">
        <v>13982.400000000001</v>
      </c>
      <c r="U74" s="12" t="str">
        <v>Earning ₹70k</v>
      </c>
      <c r="V74" s="12">
        <v>5378</v>
      </c>
      <c r="W74" s="12" t="str">
        <v>Review</v>
      </c>
    </row>
    <row r="75" spans="1:23" x14ac:dyDescent="0.3">
      <c r="A75" t="s">
        <v>81</v>
      </c>
      <c r="B75" t="s">
        <v>281</v>
      </c>
      <c r="C75" t="s">
        <v>408</v>
      </c>
      <c r="D75" t="s">
        <v>413</v>
      </c>
      <c r="E75">
        <v>5</v>
      </c>
      <c r="F75" t="s">
        <v>418</v>
      </c>
      <c r="G75">
        <v>75911</v>
      </c>
      <c r="H75" t="s">
        <v>420</v>
      </c>
      <c r="I75" s="12" t="str">
        <v>Not Eligible</v>
      </c>
      <c r="J75" s="12" t="str">
        <v>Other</v>
      </c>
      <c r="K75" s="12" t="str">
        <v>Target Role</v>
      </c>
      <c r="L75" s="12" t="str">
        <v>Regular</v>
      </c>
      <c r="M75" s="12" t="str">
        <v>OK</v>
      </c>
      <c r="N75" s="12" t="str">
        <v>Junior</v>
      </c>
      <c r="O75" s="12" t="str">
        <v>Non-Metro</v>
      </c>
      <c r="P75" s="12" t="str">
        <v>Standard</v>
      </c>
      <c r="Q75" s="12" t="str">
        <v>Mid/Short-Term</v>
      </c>
      <c r="R75" s="12">
        <f t="shared" si="2"/>
        <v>68</v>
      </c>
      <c r="S75" s="12">
        <f t="shared" si="3"/>
        <v>35</v>
      </c>
      <c r="T75" s="12">
        <v>0</v>
      </c>
      <c r="U75" s="12" t="str">
        <v>Earning ₹76k</v>
      </c>
      <c r="V75" s="12">
        <v>15182</v>
      </c>
      <c r="W75" s="12" t="str">
        <v>Review</v>
      </c>
    </row>
    <row r="76" spans="1:23" x14ac:dyDescent="0.3">
      <c r="A76" t="s">
        <v>82</v>
      </c>
      <c r="B76" t="s">
        <v>282</v>
      </c>
      <c r="C76" t="s">
        <v>408</v>
      </c>
      <c r="D76" t="s">
        <v>413</v>
      </c>
      <c r="E76">
        <v>23</v>
      </c>
      <c r="F76" t="s">
        <v>418</v>
      </c>
      <c r="G76">
        <v>25021</v>
      </c>
      <c r="I76" s="12" t="str">
        <v>Not Eligible</v>
      </c>
      <c r="J76" s="12" t="str">
        <v>Other</v>
      </c>
      <c r="K76" s="12" t="str">
        <v>Target Role</v>
      </c>
      <c r="L76" s="12" t="str">
        <v>Regular</v>
      </c>
      <c r="M76" s="12" t="str">
        <v>Pending Info</v>
      </c>
      <c r="N76" s="12" t="str">
        <v>Experienced</v>
      </c>
      <c r="O76" s="12" t="str">
        <v>Non-Metro</v>
      </c>
      <c r="P76" s="12" t="str">
        <v>Low-Pay Contract</v>
      </c>
      <c r="Q76" s="12" t="str">
        <v>Long-Term</v>
      </c>
      <c r="R76" s="12">
        <f t="shared" si="2"/>
        <v>68</v>
      </c>
      <c r="S76" s="12">
        <f t="shared" si="3"/>
        <v>35</v>
      </c>
      <c r="T76" s="12">
        <v>0</v>
      </c>
      <c r="U76" s="12" t="str">
        <v>Earning ₹25k</v>
      </c>
      <c r="V76" s="12">
        <v>1088</v>
      </c>
      <c r="W76" s="12" t="str">
        <v>Review</v>
      </c>
    </row>
    <row r="77" spans="1:23" x14ac:dyDescent="0.3">
      <c r="A77" t="s">
        <v>83</v>
      </c>
      <c r="B77" t="s">
        <v>283</v>
      </c>
      <c r="C77" t="s">
        <v>412</v>
      </c>
      <c r="D77" t="s">
        <v>414</v>
      </c>
      <c r="E77">
        <v>1</v>
      </c>
      <c r="F77" t="s">
        <v>419</v>
      </c>
      <c r="G77">
        <v>133437</v>
      </c>
      <c r="H77" t="s">
        <v>421</v>
      </c>
      <c r="I77" s="12" t="str">
        <v>Eligible</v>
      </c>
      <c r="J77" s="12" t="str">
        <v>Other</v>
      </c>
      <c r="K77" s="12" t="str">
        <v>General</v>
      </c>
      <c r="L77" s="12" t="str">
        <v>High Earner</v>
      </c>
      <c r="M77" s="12" t="str">
        <v>OK</v>
      </c>
      <c r="N77" s="12" t="str">
        <v>Experienced</v>
      </c>
      <c r="O77" s="12" t="str">
        <v>Metro</v>
      </c>
      <c r="P77" s="12" t="str">
        <v>Standard</v>
      </c>
      <c r="Q77" s="12" t="str">
        <v>Mid/Short-Term</v>
      </c>
      <c r="R77" s="12">
        <f t="shared" si="2"/>
        <v>68</v>
      </c>
      <c r="S77" s="12">
        <f t="shared" si="3"/>
        <v>35</v>
      </c>
      <c r="T77" s="12">
        <v>26687.4</v>
      </c>
      <c r="U77" s="12" t="str">
        <v>Earning ₹133k</v>
      </c>
      <c r="V77" s="12">
        <v>133437</v>
      </c>
      <c r="W77" s="12" t="str">
        <v>Review</v>
      </c>
    </row>
    <row r="78" spans="1:23" x14ac:dyDescent="0.3">
      <c r="A78" t="s">
        <v>84</v>
      </c>
      <c r="B78" t="s">
        <v>284</v>
      </c>
      <c r="C78" t="s">
        <v>410</v>
      </c>
      <c r="D78" t="s">
        <v>413</v>
      </c>
      <c r="E78">
        <v>20</v>
      </c>
      <c r="F78" t="s">
        <v>419</v>
      </c>
      <c r="G78">
        <v>149488</v>
      </c>
      <c r="H78" t="s">
        <v>421</v>
      </c>
      <c r="I78" s="12" t="str">
        <v>Eligible</v>
      </c>
      <c r="J78" s="12" t="str">
        <v>Other</v>
      </c>
      <c r="K78" s="12" t="str">
        <v>General</v>
      </c>
      <c r="L78" s="12" t="str">
        <v>High Earner</v>
      </c>
      <c r="M78" s="12" t="str">
        <v>OK</v>
      </c>
      <c r="N78" s="12" t="str">
        <v>Experienced</v>
      </c>
      <c r="O78" s="12" t="str">
        <v>Metro</v>
      </c>
      <c r="P78" s="12" t="str">
        <v>Standard</v>
      </c>
      <c r="Q78" s="12" t="str">
        <v>Long-Term</v>
      </c>
      <c r="R78" s="12">
        <f t="shared" si="2"/>
        <v>67</v>
      </c>
      <c r="S78" s="12">
        <f t="shared" si="3"/>
        <v>34</v>
      </c>
      <c r="T78" s="12">
        <v>29897.600000000002</v>
      </c>
      <c r="U78" s="12" t="str">
        <v>Earning ₹149k</v>
      </c>
      <c r="V78" s="12">
        <v>7474</v>
      </c>
      <c r="W78" s="12" t="str">
        <v>Promotable</v>
      </c>
    </row>
    <row r="79" spans="1:23" x14ac:dyDescent="0.3">
      <c r="A79" t="s">
        <v>85</v>
      </c>
      <c r="B79" t="s">
        <v>285</v>
      </c>
      <c r="C79" t="s">
        <v>411</v>
      </c>
      <c r="D79" t="s">
        <v>414</v>
      </c>
      <c r="E79">
        <v>12</v>
      </c>
      <c r="F79" t="s">
        <v>417</v>
      </c>
      <c r="G79">
        <v>29310</v>
      </c>
      <c r="H79" t="s">
        <v>421</v>
      </c>
      <c r="I79" s="12" t="str">
        <v>Eligible</v>
      </c>
      <c r="J79" s="12" t="str">
        <v>Senior Permanent</v>
      </c>
      <c r="K79" s="12" t="str">
        <v>Target Role</v>
      </c>
      <c r="L79" s="12" t="str">
        <v>Regular</v>
      </c>
      <c r="M79" s="12" t="str">
        <v>OK</v>
      </c>
      <c r="N79" s="12" t="str">
        <v>Experienced</v>
      </c>
      <c r="O79" s="12" t="str">
        <v>Metro</v>
      </c>
      <c r="P79" s="12" t="str">
        <v>Standard</v>
      </c>
      <c r="Q79" s="12" t="str">
        <v>Mid/Short-Term</v>
      </c>
      <c r="R79" s="12">
        <f t="shared" si="2"/>
        <v>66</v>
      </c>
      <c r="S79" s="12">
        <f t="shared" si="3"/>
        <v>34</v>
      </c>
      <c r="T79" s="12">
        <v>5862</v>
      </c>
      <c r="U79" s="12" t="str">
        <v>Earning ₹29k</v>
      </c>
      <c r="V79" s="12">
        <v>2443</v>
      </c>
      <c r="W79" s="12" t="str">
        <v>Review</v>
      </c>
    </row>
    <row r="80" spans="1:23" x14ac:dyDescent="0.3">
      <c r="A80" t="s">
        <v>86</v>
      </c>
      <c r="B80" t="s">
        <v>286</v>
      </c>
      <c r="C80" t="s">
        <v>412</v>
      </c>
      <c r="D80" t="s">
        <v>413</v>
      </c>
      <c r="E80">
        <v>0</v>
      </c>
      <c r="F80" t="s">
        <v>418</v>
      </c>
      <c r="G80">
        <v>52831</v>
      </c>
      <c r="I80" s="12" t="str">
        <v>Not Eligible</v>
      </c>
      <c r="J80" s="12" t="str">
        <v>Other</v>
      </c>
      <c r="K80" s="12" t="str">
        <v>General</v>
      </c>
      <c r="L80" s="12" t="str">
        <v>Regular</v>
      </c>
      <c r="M80" s="12" t="str">
        <v>Pending Info</v>
      </c>
      <c r="N80" s="12" t="str">
        <v>Junior</v>
      </c>
      <c r="O80" s="12" t="str">
        <v>Non-Metro</v>
      </c>
      <c r="P80" s="12" t="str">
        <v>Standard</v>
      </c>
      <c r="Q80" s="12" t="str">
        <v>Mid/Short-Term</v>
      </c>
      <c r="R80" s="12">
        <f t="shared" si="2"/>
        <v>65</v>
      </c>
      <c r="S80" s="12">
        <f t="shared" si="3"/>
        <v>34</v>
      </c>
      <c r="T80" s="12">
        <v>0</v>
      </c>
      <c r="U80" s="12" t="str">
        <v>Earning ₹53k</v>
      </c>
      <c r="V80" s="12" t="str">
        <v>Check Data</v>
      </c>
      <c r="W80" s="12" t="str">
        <v>Review</v>
      </c>
    </row>
    <row r="81" spans="1:23" x14ac:dyDescent="0.3">
      <c r="A81" t="s">
        <v>87</v>
      </c>
      <c r="B81" t="s">
        <v>287</v>
      </c>
      <c r="C81" t="s">
        <v>408</v>
      </c>
      <c r="D81" t="s">
        <v>413</v>
      </c>
      <c r="E81">
        <v>18</v>
      </c>
      <c r="F81" t="s">
        <v>419</v>
      </c>
      <c r="G81">
        <v>51275</v>
      </c>
      <c r="H81" t="s">
        <v>420</v>
      </c>
      <c r="I81" s="12" t="str">
        <v>Not Eligible</v>
      </c>
      <c r="J81" s="12" t="str">
        <v>Other</v>
      </c>
      <c r="K81" s="12" t="str">
        <v>Target Role</v>
      </c>
      <c r="L81" s="12" t="str">
        <v>Regular</v>
      </c>
      <c r="M81" s="12" t="str">
        <v>OK</v>
      </c>
      <c r="N81" s="12" t="str">
        <v>Experienced</v>
      </c>
      <c r="O81" s="12" t="str">
        <v>Metro</v>
      </c>
      <c r="P81" s="12" t="str">
        <v>Standard</v>
      </c>
      <c r="Q81" s="12" t="str">
        <v>Long-Term</v>
      </c>
      <c r="R81" s="12">
        <f t="shared" si="2"/>
        <v>65</v>
      </c>
      <c r="S81" s="12">
        <f t="shared" si="3"/>
        <v>34</v>
      </c>
      <c r="T81" s="12">
        <v>0</v>
      </c>
      <c r="U81" s="12" t="str">
        <v>Earning ₹51k</v>
      </c>
      <c r="V81" s="12">
        <v>2849</v>
      </c>
      <c r="W81" s="12" t="str">
        <v>Review</v>
      </c>
    </row>
    <row r="82" spans="1:23" x14ac:dyDescent="0.3">
      <c r="A82" t="s">
        <v>88</v>
      </c>
      <c r="B82" t="s">
        <v>288</v>
      </c>
      <c r="C82" t="s">
        <v>410</v>
      </c>
      <c r="D82" t="s">
        <v>414</v>
      </c>
      <c r="E82">
        <v>8</v>
      </c>
      <c r="F82" t="s">
        <v>415</v>
      </c>
      <c r="G82">
        <v>40345</v>
      </c>
      <c r="H82" t="s">
        <v>421</v>
      </c>
      <c r="I82" s="12" t="str">
        <v>Eligible</v>
      </c>
      <c r="J82" s="12" t="str">
        <v>Senior Permanent</v>
      </c>
      <c r="K82" s="12" t="str">
        <v>General</v>
      </c>
      <c r="L82" s="12" t="str">
        <v>Regular</v>
      </c>
      <c r="M82" s="12" t="str">
        <v>OK</v>
      </c>
      <c r="N82" s="12" t="str">
        <v>Junior</v>
      </c>
      <c r="O82" s="12" t="str">
        <v>Metro</v>
      </c>
      <c r="P82" s="12" t="str">
        <v>Standard</v>
      </c>
      <c r="Q82" s="12" t="str">
        <v>Mid/Short-Term</v>
      </c>
      <c r="R82" s="12">
        <f t="shared" si="2"/>
        <v>65</v>
      </c>
      <c r="S82" s="12">
        <f t="shared" si="3"/>
        <v>34</v>
      </c>
      <c r="T82" s="12">
        <v>8069</v>
      </c>
      <c r="U82" s="12" t="str">
        <v>Earning ₹40k</v>
      </c>
      <c r="V82" s="12">
        <v>5043</v>
      </c>
      <c r="W82" s="12" t="str">
        <v>Review</v>
      </c>
    </row>
    <row r="83" spans="1:23" x14ac:dyDescent="0.3">
      <c r="A83" t="s">
        <v>89</v>
      </c>
      <c r="B83" t="s">
        <v>289</v>
      </c>
      <c r="C83" t="s">
        <v>412</v>
      </c>
      <c r="D83" t="s">
        <v>414</v>
      </c>
      <c r="E83">
        <v>18</v>
      </c>
      <c r="F83" t="s">
        <v>415</v>
      </c>
      <c r="G83">
        <v>137636</v>
      </c>
      <c r="H83" t="s">
        <v>420</v>
      </c>
      <c r="I83" s="12" t="str">
        <v>Not Eligible</v>
      </c>
      <c r="J83" s="12" t="str">
        <v>Senior Permanent</v>
      </c>
      <c r="K83" s="12" t="str">
        <v>General</v>
      </c>
      <c r="L83" s="12" t="str">
        <v>High Earner</v>
      </c>
      <c r="M83" s="12" t="str">
        <v>OK</v>
      </c>
      <c r="N83" s="12" t="str">
        <v>Experienced</v>
      </c>
      <c r="O83" s="12" t="str">
        <v>Metro</v>
      </c>
      <c r="P83" s="12" t="str">
        <v>Standard</v>
      </c>
      <c r="Q83" s="12" t="str">
        <v>Long-Term</v>
      </c>
      <c r="R83" s="12">
        <f t="shared" si="2"/>
        <v>64</v>
      </c>
      <c r="S83" s="12">
        <f t="shared" si="3"/>
        <v>34</v>
      </c>
      <c r="T83" s="12">
        <v>0</v>
      </c>
      <c r="U83" s="12" t="str">
        <v>Earning ₹138k</v>
      </c>
      <c r="V83" s="12">
        <v>7646</v>
      </c>
      <c r="W83" s="12" t="str">
        <v>Promotable</v>
      </c>
    </row>
    <row r="84" spans="1:23" x14ac:dyDescent="0.3">
      <c r="A84" t="s">
        <v>90</v>
      </c>
      <c r="B84" t="s">
        <v>290</v>
      </c>
      <c r="C84" t="s">
        <v>412</v>
      </c>
      <c r="D84" t="s">
        <v>413</v>
      </c>
      <c r="E84">
        <v>26</v>
      </c>
      <c r="F84" t="s">
        <v>419</v>
      </c>
      <c r="G84">
        <v>95790</v>
      </c>
      <c r="H84" t="s">
        <v>420</v>
      </c>
      <c r="I84" s="12" t="str">
        <v>Not Eligible</v>
      </c>
      <c r="J84" s="12" t="str">
        <v>Other</v>
      </c>
      <c r="K84" s="12" t="str">
        <v>General</v>
      </c>
      <c r="L84" s="12" t="str">
        <v>Regular</v>
      </c>
      <c r="M84" s="12" t="str">
        <v>OK</v>
      </c>
      <c r="N84" s="12" t="str">
        <v>Experienced</v>
      </c>
      <c r="O84" s="12" t="str">
        <v>Metro</v>
      </c>
      <c r="P84" s="12" t="str">
        <v>Standard</v>
      </c>
      <c r="Q84" s="12" t="str">
        <v>Long-Term</v>
      </c>
      <c r="R84" s="12">
        <f t="shared" si="2"/>
        <v>64</v>
      </c>
      <c r="S84" s="12">
        <f t="shared" si="3"/>
        <v>33</v>
      </c>
      <c r="T84" s="12">
        <v>0</v>
      </c>
      <c r="U84" s="12" t="str">
        <v>Earning ₹96k</v>
      </c>
      <c r="V84" s="12">
        <v>3684</v>
      </c>
      <c r="W84" s="12" t="str">
        <v>Promotable</v>
      </c>
    </row>
    <row r="85" spans="1:23" x14ac:dyDescent="0.3">
      <c r="A85" t="s">
        <v>91</v>
      </c>
      <c r="B85" t="s">
        <v>291</v>
      </c>
      <c r="C85" t="s">
        <v>410</v>
      </c>
      <c r="D85" t="s">
        <v>414</v>
      </c>
      <c r="E85">
        <v>0</v>
      </c>
      <c r="F85" t="s">
        <v>415</v>
      </c>
      <c r="G85">
        <v>30951</v>
      </c>
      <c r="H85" t="s">
        <v>420</v>
      </c>
      <c r="I85" s="12" t="str">
        <v>Not Eligible</v>
      </c>
      <c r="J85" s="12" t="str">
        <v>Other</v>
      </c>
      <c r="K85" s="12" t="str">
        <v>General</v>
      </c>
      <c r="L85" s="12" t="str">
        <v>Regular</v>
      </c>
      <c r="M85" s="12" t="str">
        <v>OK</v>
      </c>
      <c r="N85" s="12" t="str">
        <v>Junior</v>
      </c>
      <c r="O85" s="12" t="str">
        <v>Metro</v>
      </c>
      <c r="P85" s="12" t="str">
        <v>Standard</v>
      </c>
      <c r="Q85" s="12" t="str">
        <v>Mid/Short-Term</v>
      </c>
      <c r="R85" s="12">
        <f t="shared" si="2"/>
        <v>64</v>
      </c>
      <c r="S85" s="12">
        <f t="shared" si="3"/>
        <v>33</v>
      </c>
      <c r="T85" s="12">
        <v>0</v>
      </c>
      <c r="U85" s="12" t="str">
        <v>Earning ₹31k</v>
      </c>
      <c r="V85" s="12" t="str">
        <v>Check Data</v>
      </c>
      <c r="W85" s="12" t="str">
        <v>Review</v>
      </c>
    </row>
    <row r="86" spans="1:23" x14ac:dyDescent="0.3">
      <c r="A86" t="s">
        <v>92</v>
      </c>
      <c r="B86" t="s">
        <v>292</v>
      </c>
      <c r="C86" t="s">
        <v>411</v>
      </c>
      <c r="D86" t="s">
        <v>413</v>
      </c>
      <c r="E86">
        <v>26</v>
      </c>
      <c r="F86" t="s">
        <v>418</v>
      </c>
      <c r="G86">
        <v>123239</v>
      </c>
      <c r="H86" t="s">
        <v>420</v>
      </c>
      <c r="I86" s="12" t="str">
        <v>Not Eligible</v>
      </c>
      <c r="J86" s="12" t="str">
        <v>Other</v>
      </c>
      <c r="K86" s="12" t="str">
        <v>General</v>
      </c>
      <c r="L86" s="12" t="str">
        <v>High Earner</v>
      </c>
      <c r="M86" s="12" t="str">
        <v>OK</v>
      </c>
      <c r="N86" s="12" t="str">
        <v>Experienced</v>
      </c>
      <c r="O86" s="12" t="str">
        <v>Non-Metro</v>
      </c>
      <c r="P86" s="12" t="str">
        <v>Standard</v>
      </c>
      <c r="Q86" s="12" t="str">
        <v>Long-Term</v>
      </c>
      <c r="R86" s="12">
        <f t="shared" si="2"/>
        <v>64</v>
      </c>
      <c r="S86" s="12">
        <f t="shared" si="3"/>
        <v>33</v>
      </c>
      <c r="T86" s="12">
        <v>0</v>
      </c>
      <c r="U86" s="12" t="str">
        <v>Earning ₹123k</v>
      </c>
      <c r="V86" s="12">
        <v>4740</v>
      </c>
      <c r="W86" s="12" t="str">
        <v>Promotable</v>
      </c>
    </row>
    <row r="87" spans="1:23" x14ac:dyDescent="0.3">
      <c r="A87" t="s">
        <v>93</v>
      </c>
      <c r="B87" t="s">
        <v>293</v>
      </c>
      <c r="C87" t="s">
        <v>410</v>
      </c>
      <c r="D87" t="s">
        <v>414</v>
      </c>
      <c r="E87">
        <v>15</v>
      </c>
      <c r="F87" t="s">
        <v>415</v>
      </c>
      <c r="G87">
        <v>26739</v>
      </c>
      <c r="H87" t="s">
        <v>421</v>
      </c>
      <c r="I87" s="12" t="str">
        <v>Eligible</v>
      </c>
      <c r="J87" s="12" t="str">
        <v>Senior Permanent</v>
      </c>
      <c r="K87" s="12" t="str">
        <v>General</v>
      </c>
      <c r="L87" s="12" t="str">
        <v>Regular</v>
      </c>
      <c r="M87" s="12" t="str">
        <v>OK</v>
      </c>
      <c r="N87" s="12" t="str">
        <v>Experienced</v>
      </c>
      <c r="O87" s="12" t="str">
        <v>Metro</v>
      </c>
      <c r="P87" s="12" t="str">
        <v>Standard</v>
      </c>
      <c r="Q87" s="12" t="str">
        <v>Mid/Short-Term</v>
      </c>
      <c r="R87" s="12">
        <f t="shared" si="2"/>
        <v>64</v>
      </c>
      <c r="S87" s="12">
        <f t="shared" si="3"/>
        <v>33</v>
      </c>
      <c r="T87" s="12">
        <v>5347.8</v>
      </c>
      <c r="U87" s="12" t="str">
        <v>Earning ₹27k</v>
      </c>
      <c r="V87" s="12">
        <v>1783</v>
      </c>
      <c r="W87" s="12" t="str">
        <v>Review</v>
      </c>
    </row>
    <row r="88" spans="1:23" x14ac:dyDescent="0.3">
      <c r="A88" t="s">
        <v>94</v>
      </c>
      <c r="B88" t="s">
        <v>294</v>
      </c>
      <c r="C88" t="s">
        <v>411</v>
      </c>
      <c r="D88" t="s">
        <v>414</v>
      </c>
      <c r="E88">
        <v>29</v>
      </c>
      <c r="F88" t="s">
        <v>419</v>
      </c>
      <c r="G88">
        <v>42513</v>
      </c>
      <c r="H88" t="s">
        <v>420</v>
      </c>
      <c r="I88" s="12" t="str">
        <v>Not Eligible</v>
      </c>
      <c r="J88" s="12" t="str">
        <v>Senior Permanent</v>
      </c>
      <c r="K88" s="12" t="str">
        <v>General</v>
      </c>
      <c r="L88" s="12" t="str">
        <v>Regular</v>
      </c>
      <c r="M88" s="12" t="str">
        <v>OK</v>
      </c>
      <c r="N88" s="12" t="str">
        <v>Experienced</v>
      </c>
      <c r="O88" s="12" t="str">
        <v>Metro</v>
      </c>
      <c r="P88" s="12" t="str">
        <v>Standard</v>
      </c>
      <c r="Q88" s="12" t="str">
        <v>Long-Term</v>
      </c>
      <c r="R88" s="12">
        <f t="shared" si="2"/>
        <v>63</v>
      </c>
      <c r="S88" s="12">
        <f t="shared" si="3"/>
        <v>33</v>
      </c>
      <c r="T88" s="12">
        <v>0</v>
      </c>
      <c r="U88" s="12" t="str">
        <v>Earning ₹43k</v>
      </c>
      <c r="V88" s="12">
        <v>1466</v>
      </c>
      <c r="W88" s="12" t="str">
        <v>Review</v>
      </c>
    </row>
    <row r="89" spans="1:23" x14ac:dyDescent="0.3">
      <c r="A89" t="s">
        <v>95</v>
      </c>
      <c r="B89" t="s">
        <v>295</v>
      </c>
      <c r="C89" t="s">
        <v>410</v>
      </c>
      <c r="D89" t="s">
        <v>414</v>
      </c>
      <c r="E89">
        <v>2</v>
      </c>
      <c r="F89" t="s">
        <v>415</v>
      </c>
      <c r="G89">
        <v>68500</v>
      </c>
      <c r="H89" t="s">
        <v>420</v>
      </c>
      <c r="I89" s="12" t="str">
        <v>Not Eligible</v>
      </c>
      <c r="J89" s="12" t="str">
        <v>Other</v>
      </c>
      <c r="K89" s="12" t="str">
        <v>General</v>
      </c>
      <c r="L89" s="12" t="str">
        <v>Regular</v>
      </c>
      <c r="M89" s="12" t="str">
        <v>OK</v>
      </c>
      <c r="N89" s="12" t="str">
        <v>Junior</v>
      </c>
      <c r="O89" s="12" t="str">
        <v>Metro</v>
      </c>
      <c r="P89" s="12" t="str">
        <v>Standard</v>
      </c>
      <c r="Q89" s="12" t="str">
        <v>Mid/Short-Term</v>
      </c>
      <c r="R89" s="12">
        <f t="shared" si="2"/>
        <v>63</v>
      </c>
      <c r="S89" s="12">
        <f t="shared" si="3"/>
        <v>33</v>
      </c>
      <c r="T89" s="12">
        <v>0</v>
      </c>
      <c r="U89" s="12" t="str">
        <v>Earning ₹69k</v>
      </c>
      <c r="V89" s="12">
        <v>34250</v>
      </c>
      <c r="W89" s="12" t="str">
        <v>Review</v>
      </c>
    </row>
    <row r="90" spans="1:23" x14ac:dyDescent="0.3">
      <c r="A90" t="s">
        <v>96</v>
      </c>
      <c r="B90" t="s">
        <v>296</v>
      </c>
      <c r="C90" t="s">
        <v>409</v>
      </c>
      <c r="D90" t="s">
        <v>414</v>
      </c>
      <c r="E90">
        <v>9</v>
      </c>
      <c r="F90" t="s">
        <v>415</v>
      </c>
      <c r="G90">
        <v>136821</v>
      </c>
      <c r="H90" t="s">
        <v>421</v>
      </c>
      <c r="I90" s="12" t="str">
        <v>Eligible</v>
      </c>
      <c r="J90" s="12" t="str">
        <v>Senior Permanent</v>
      </c>
      <c r="K90" s="12" t="str">
        <v>General</v>
      </c>
      <c r="L90" s="12" t="str">
        <v>High Earner</v>
      </c>
      <c r="M90" s="12" t="str">
        <v>OK</v>
      </c>
      <c r="N90" s="12" t="str">
        <v>Experienced</v>
      </c>
      <c r="O90" s="12" t="str">
        <v>Metro</v>
      </c>
      <c r="P90" s="12" t="str">
        <v>Standard</v>
      </c>
      <c r="Q90" s="12" t="str">
        <v>Mid/Short-Term</v>
      </c>
      <c r="R90" s="12">
        <f t="shared" si="2"/>
        <v>63</v>
      </c>
      <c r="S90" s="12">
        <f t="shared" si="3"/>
        <v>33</v>
      </c>
      <c r="T90" s="12">
        <v>27364.2</v>
      </c>
      <c r="U90" s="12" t="str">
        <v>Earning ₹137k</v>
      </c>
      <c r="V90" s="12">
        <v>15202</v>
      </c>
      <c r="W90" s="12" t="str">
        <v>Review</v>
      </c>
    </row>
    <row r="91" spans="1:23" x14ac:dyDescent="0.3">
      <c r="A91" t="s">
        <v>97</v>
      </c>
      <c r="B91" t="s">
        <v>297</v>
      </c>
      <c r="C91" t="s">
        <v>412</v>
      </c>
      <c r="D91" t="s">
        <v>414</v>
      </c>
      <c r="E91">
        <v>30</v>
      </c>
      <c r="F91" t="s">
        <v>415</v>
      </c>
      <c r="G91">
        <v>97752</v>
      </c>
      <c r="H91" t="s">
        <v>420</v>
      </c>
      <c r="I91" s="12" t="str">
        <v>Not Eligible</v>
      </c>
      <c r="J91" s="12" t="str">
        <v>Senior Permanent</v>
      </c>
      <c r="K91" s="12" t="str">
        <v>General</v>
      </c>
      <c r="L91" s="12" t="str">
        <v>Regular</v>
      </c>
      <c r="M91" s="12" t="str">
        <v>OK</v>
      </c>
      <c r="N91" s="12" t="str">
        <v>Experienced</v>
      </c>
      <c r="O91" s="12" t="str">
        <v>Metro</v>
      </c>
      <c r="P91" s="12" t="str">
        <v>Standard</v>
      </c>
      <c r="Q91" s="12" t="str">
        <v>Long-Term</v>
      </c>
      <c r="R91" s="12">
        <f t="shared" si="2"/>
        <v>62</v>
      </c>
      <c r="S91" s="12">
        <f t="shared" si="3"/>
        <v>32</v>
      </c>
      <c r="T91" s="12">
        <v>0</v>
      </c>
      <c r="U91" s="12" t="str">
        <v>Earning ₹98k</v>
      </c>
      <c r="V91" s="12">
        <v>3258</v>
      </c>
      <c r="W91" s="12" t="str">
        <v>Promotable</v>
      </c>
    </row>
    <row r="92" spans="1:23" x14ac:dyDescent="0.3">
      <c r="A92" t="s">
        <v>98</v>
      </c>
      <c r="B92" t="s">
        <v>298</v>
      </c>
      <c r="C92" t="s">
        <v>408</v>
      </c>
      <c r="D92" t="s">
        <v>413</v>
      </c>
      <c r="E92">
        <v>5</v>
      </c>
      <c r="F92" t="s">
        <v>415</v>
      </c>
      <c r="G92">
        <v>55798</v>
      </c>
      <c r="H92" t="s">
        <v>421</v>
      </c>
      <c r="I92" s="12" t="str">
        <v>Eligible</v>
      </c>
      <c r="J92" s="12" t="str">
        <v>Other</v>
      </c>
      <c r="K92" s="12" t="str">
        <v>Target Role</v>
      </c>
      <c r="L92" s="12" t="str">
        <v>Regular</v>
      </c>
      <c r="M92" s="12" t="str">
        <v>OK</v>
      </c>
      <c r="N92" s="12" t="str">
        <v>Junior</v>
      </c>
      <c r="O92" s="12" t="str">
        <v>Metro</v>
      </c>
      <c r="P92" s="12" t="str">
        <v>Standard</v>
      </c>
      <c r="Q92" s="12" t="str">
        <v>Mid/Short-Term</v>
      </c>
      <c r="R92" s="12">
        <f t="shared" si="2"/>
        <v>62</v>
      </c>
      <c r="S92" s="12">
        <f t="shared" si="3"/>
        <v>31</v>
      </c>
      <c r="T92" s="12">
        <v>11159.6</v>
      </c>
      <c r="U92" s="12" t="str">
        <v>Earning ₹56k</v>
      </c>
      <c r="V92" s="12">
        <v>11160</v>
      </c>
      <c r="W92" s="12" t="str">
        <v>Review</v>
      </c>
    </row>
    <row r="93" spans="1:23" x14ac:dyDescent="0.3">
      <c r="A93" t="s">
        <v>99</v>
      </c>
      <c r="B93" t="s">
        <v>299</v>
      </c>
      <c r="C93" t="s">
        <v>411</v>
      </c>
      <c r="D93" t="s">
        <v>413</v>
      </c>
      <c r="E93">
        <v>25</v>
      </c>
      <c r="F93" t="s">
        <v>415</v>
      </c>
      <c r="G93">
        <v>66370</v>
      </c>
      <c r="H93" t="s">
        <v>420</v>
      </c>
      <c r="I93" s="12" t="str">
        <v>Not Eligible</v>
      </c>
      <c r="J93" s="12" t="str">
        <v>Other</v>
      </c>
      <c r="K93" s="12" t="str">
        <v>General</v>
      </c>
      <c r="L93" s="12" t="str">
        <v>Regular</v>
      </c>
      <c r="M93" s="12" t="str">
        <v>OK</v>
      </c>
      <c r="N93" s="12" t="str">
        <v>Experienced</v>
      </c>
      <c r="O93" s="12" t="str">
        <v>Metro</v>
      </c>
      <c r="P93" s="12" t="str">
        <v>Standard</v>
      </c>
      <c r="Q93" s="12" t="str">
        <v>Long-Term</v>
      </c>
      <c r="R93" s="12">
        <f t="shared" si="2"/>
        <v>61</v>
      </c>
      <c r="S93" s="12">
        <f t="shared" si="3"/>
        <v>31</v>
      </c>
      <c r="T93" s="12">
        <v>0</v>
      </c>
      <c r="U93" s="12" t="str">
        <v>Earning ₹66k</v>
      </c>
      <c r="V93" s="12">
        <v>2655</v>
      </c>
      <c r="W93" s="12" t="str">
        <v>Review</v>
      </c>
    </row>
    <row r="94" spans="1:23" x14ac:dyDescent="0.3">
      <c r="A94" t="s">
        <v>100</v>
      </c>
      <c r="B94" t="s">
        <v>300</v>
      </c>
      <c r="C94" t="s">
        <v>408</v>
      </c>
      <c r="D94" t="s">
        <v>413</v>
      </c>
      <c r="E94">
        <v>18</v>
      </c>
      <c r="F94" t="s">
        <v>419</v>
      </c>
      <c r="G94">
        <v>43804</v>
      </c>
      <c r="H94" t="s">
        <v>421</v>
      </c>
      <c r="I94" s="12" t="str">
        <v>Eligible</v>
      </c>
      <c r="J94" s="12" t="str">
        <v>Other</v>
      </c>
      <c r="K94" s="12" t="str">
        <v>Target Role</v>
      </c>
      <c r="L94" s="12" t="str">
        <v>Regular</v>
      </c>
      <c r="M94" s="12" t="str">
        <v>OK</v>
      </c>
      <c r="N94" s="12" t="str">
        <v>Experienced</v>
      </c>
      <c r="O94" s="12" t="str">
        <v>Metro</v>
      </c>
      <c r="P94" s="12" t="str">
        <v>Standard</v>
      </c>
      <c r="Q94" s="12" t="str">
        <v>Long-Term</v>
      </c>
      <c r="R94" s="12">
        <f t="shared" si="2"/>
        <v>61</v>
      </c>
      <c r="S94" s="12">
        <f t="shared" si="3"/>
        <v>31</v>
      </c>
      <c r="T94" s="12">
        <v>8760.8000000000011</v>
      </c>
      <c r="U94" s="12" t="str">
        <v>Earning ₹44k</v>
      </c>
      <c r="V94" s="12">
        <v>2434</v>
      </c>
      <c r="W94" s="12" t="str">
        <v>Review</v>
      </c>
    </row>
    <row r="95" spans="1:23" x14ac:dyDescent="0.3">
      <c r="A95" t="s">
        <v>101</v>
      </c>
      <c r="B95" t="s">
        <v>301</v>
      </c>
      <c r="C95" t="s">
        <v>411</v>
      </c>
      <c r="D95" t="s">
        <v>413</v>
      </c>
      <c r="E95">
        <v>5</v>
      </c>
      <c r="F95" t="s">
        <v>417</v>
      </c>
      <c r="G95">
        <v>58244</v>
      </c>
      <c r="H95" t="s">
        <v>420</v>
      </c>
      <c r="I95" s="12" t="str">
        <v>Not Eligible</v>
      </c>
      <c r="J95" s="12" t="str">
        <v>Other</v>
      </c>
      <c r="K95" s="12" t="str">
        <v>Target Role</v>
      </c>
      <c r="L95" s="12" t="str">
        <v>Regular</v>
      </c>
      <c r="M95" s="12" t="str">
        <v>OK</v>
      </c>
      <c r="N95" s="12" t="str">
        <v>Junior</v>
      </c>
      <c r="O95" s="12" t="str">
        <v>Metro</v>
      </c>
      <c r="P95" s="12" t="str">
        <v>Standard</v>
      </c>
      <c r="Q95" s="12" t="str">
        <v>Mid/Short-Term</v>
      </c>
      <c r="R95" s="12">
        <f t="shared" si="2"/>
        <v>60</v>
      </c>
      <c r="S95" s="12">
        <f t="shared" si="3"/>
        <v>31</v>
      </c>
      <c r="T95" s="12">
        <v>0</v>
      </c>
      <c r="U95" s="12" t="str">
        <v>Earning ₹58k</v>
      </c>
      <c r="V95" s="12">
        <v>11649</v>
      </c>
      <c r="W95" s="12" t="str">
        <v>Review</v>
      </c>
    </row>
    <row r="96" spans="1:23" x14ac:dyDescent="0.3">
      <c r="A96" t="s">
        <v>102</v>
      </c>
      <c r="B96" t="s">
        <v>302</v>
      </c>
      <c r="C96" t="s">
        <v>409</v>
      </c>
      <c r="D96" t="s">
        <v>414</v>
      </c>
      <c r="E96">
        <v>4</v>
      </c>
      <c r="F96" t="s">
        <v>418</v>
      </c>
      <c r="G96">
        <v>108389</v>
      </c>
      <c r="H96" t="s">
        <v>421</v>
      </c>
      <c r="I96" s="12" t="str">
        <v>Eligible</v>
      </c>
      <c r="J96" s="12" t="str">
        <v>Other</v>
      </c>
      <c r="K96" s="12" t="str">
        <v>General</v>
      </c>
      <c r="L96" s="12" t="str">
        <v>High Earner</v>
      </c>
      <c r="M96" s="12" t="str">
        <v>OK</v>
      </c>
      <c r="N96" s="12" t="str">
        <v>Experienced</v>
      </c>
      <c r="O96" s="12" t="str">
        <v>Non-Metro</v>
      </c>
      <c r="P96" s="12" t="str">
        <v>Standard</v>
      </c>
      <c r="Q96" s="12" t="str">
        <v>Mid/Short-Term</v>
      </c>
      <c r="R96" s="12">
        <f t="shared" si="2"/>
        <v>60</v>
      </c>
      <c r="S96" s="12">
        <f t="shared" si="3"/>
        <v>31</v>
      </c>
      <c r="T96" s="12">
        <v>21677.800000000003</v>
      </c>
      <c r="U96" s="12" t="str">
        <v>Earning ₹108k</v>
      </c>
      <c r="V96" s="12">
        <v>27097</v>
      </c>
      <c r="W96" s="12" t="str">
        <v>Review</v>
      </c>
    </row>
    <row r="97" spans="1:23" x14ac:dyDescent="0.3">
      <c r="A97" t="s">
        <v>103</v>
      </c>
      <c r="B97" t="s">
        <v>303</v>
      </c>
      <c r="C97" t="s">
        <v>411</v>
      </c>
      <c r="D97" t="s">
        <v>413</v>
      </c>
      <c r="E97">
        <v>12</v>
      </c>
      <c r="F97" t="s">
        <v>418</v>
      </c>
      <c r="G97">
        <v>92408</v>
      </c>
      <c r="H97" t="s">
        <v>420</v>
      </c>
      <c r="I97" s="12" t="str">
        <v>Not Eligible</v>
      </c>
      <c r="J97" s="12" t="str">
        <v>Other</v>
      </c>
      <c r="K97" s="12" t="str">
        <v>General</v>
      </c>
      <c r="L97" s="12" t="str">
        <v>Regular</v>
      </c>
      <c r="M97" s="12" t="str">
        <v>OK</v>
      </c>
      <c r="N97" s="12" t="str">
        <v>Experienced</v>
      </c>
      <c r="O97" s="12" t="str">
        <v>Non-Metro</v>
      </c>
      <c r="P97" s="12" t="str">
        <v>Standard</v>
      </c>
      <c r="Q97" s="12" t="str">
        <v>Mid/Short-Term</v>
      </c>
      <c r="R97" s="12">
        <f t="shared" si="2"/>
        <v>59</v>
      </c>
      <c r="S97" s="12">
        <f t="shared" si="3"/>
        <v>30</v>
      </c>
      <c r="T97" s="12">
        <v>0</v>
      </c>
      <c r="U97" s="12" t="str">
        <v>Earning ₹92k</v>
      </c>
      <c r="V97" s="12">
        <v>7701</v>
      </c>
      <c r="W97" s="12" t="str">
        <v>Promotable</v>
      </c>
    </row>
    <row r="98" spans="1:23" x14ac:dyDescent="0.3">
      <c r="A98" t="s">
        <v>104</v>
      </c>
      <c r="B98" t="s">
        <v>304</v>
      </c>
      <c r="C98" t="s">
        <v>411</v>
      </c>
      <c r="D98" t="s">
        <v>413</v>
      </c>
      <c r="E98">
        <v>27</v>
      </c>
      <c r="F98" t="s">
        <v>418</v>
      </c>
      <c r="G98">
        <v>94149</v>
      </c>
      <c r="H98" t="s">
        <v>420</v>
      </c>
      <c r="I98" s="12" t="str">
        <v>Not Eligible</v>
      </c>
      <c r="J98" s="12" t="str">
        <v>Other</v>
      </c>
      <c r="K98" s="12" t="str">
        <v>General</v>
      </c>
      <c r="L98" s="12" t="str">
        <v>Regular</v>
      </c>
      <c r="M98" s="12" t="str">
        <v>OK</v>
      </c>
      <c r="N98" s="12" t="str">
        <v>Experienced</v>
      </c>
      <c r="O98" s="12" t="str">
        <v>Non-Metro</v>
      </c>
      <c r="P98" s="12" t="str">
        <v>Standard</v>
      </c>
      <c r="Q98" s="12" t="str">
        <v>Long-Term</v>
      </c>
      <c r="R98" s="12">
        <f t="shared" si="2"/>
        <v>59</v>
      </c>
      <c r="S98" s="12">
        <f t="shared" si="3"/>
        <v>30</v>
      </c>
      <c r="T98" s="12">
        <v>0</v>
      </c>
      <c r="U98" s="12" t="str">
        <v>Earning ₹94k</v>
      </c>
      <c r="V98" s="12">
        <v>3487</v>
      </c>
      <c r="W98" s="12" t="str">
        <v>Promotable</v>
      </c>
    </row>
    <row r="99" spans="1:23" x14ac:dyDescent="0.3">
      <c r="A99" t="s">
        <v>105</v>
      </c>
      <c r="B99" t="s">
        <v>305</v>
      </c>
      <c r="C99" t="s">
        <v>408</v>
      </c>
      <c r="D99" t="s">
        <v>413</v>
      </c>
      <c r="E99">
        <v>10</v>
      </c>
      <c r="F99" t="s">
        <v>417</v>
      </c>
      <c r="G99">
        <v>110617</v>
      </c>
      <c r="H99" t="s">
        <v>421</v>
      </c>
      <c r="I99" s="12" t="str">
        <v>Eligible</v>
      </c>
      <c r="J99" s="12" t="str">
        <v>Other</v>
      </c>
      <c r="K99" s="12" t="str">
        <v>Target Role</v>
      </c>
      <c r="L99" s="12" t="str">
        <v>High Earner</v>
      </c>
      <c r="M99" s="12" t="str">
        <v>OK</v>
      </c>
      <c r="N99" s="12" t="str">
        <v>Experienced</v>
      </c>
      <c r="O99" s="12" t="str">
        <v>Metro</v>
      </c>
      <c r="P99" s="12" t="str">
        <v>Standard</v>
      </c>
      <c r="Q99" s="12" t="str">
        <v>Mid/Short-Term</v>
      </c>
      <c r="R99" s="12">
        <f t="shared" si="2"/>
        <v>59</v>
      </c>
      <c r="S99" s="12">
        <f t="shared" si="3"/>
        <v>30</v>
      </c>
      <c r="T99" s="12">
        <v>22123.4</v>
      </c>
      <c r="U99" s="12" t="str">
        <v>Earning ₹111k</v>
      </c>
      <c r="V99" s="12">
        <v>11062</v>
      </c>
      <c r="W99" s="12" t="str">
        <v>Promotable</v>
      </c>
    </row>
    <row r="100" spans="1:23" x14ac:dyDescent="0.3">
      <c r="A100" t="s">
        <v>106</v>
      </c>
      <c r="B100" t="s">
        <v>306</v>
      </c>
      <c r="C100" t="s">
        <v>411</v>
      </c>
      <c r="D100" t="s">
        <v>414</v>
      </c>
      <c r="E100">
        <v>16</v>
      </c>
      <c r="F100" t="s">
        <v>417</v>
      </c>
      <c r="G100">
        <v>47832</v>
      </c>
      <c r="H100" t="s">
        <v>421</v>
      </c>
      <c r="I100" s="12" t="str">
        <v>Eligible</v>
      </c>
      <c r="J100" s="12" t="str">
        <v>Senior Permanent</v>
      </c>
      <c r="K100" s="12" t="str">
        <v>Target Role</v>
      </c>
      <c r="L100" s="12" t="str">
        <v>Regular</v>
      </c>
      <c r="M100" s="12" t="str">
        <v>OK</v>
      </c>
      <c r="N100" s="12" t="str">
        <v>Experienced</v>
      </c>
      <c r="O100" s="12" t="str">
        <v>Metro</v>
      </c>
      <c r="P100" s="12" t="str">
        <v>Standard</v>
      </c>
      <c r="Q100" s="12" t="str">
        <v>Long-Term</v>
      </c>
      <c r="R100" s="12">
        <f t="shared" si="2"/>
        <v>58</v>
      </c>
      <c r="S100" s="12">
        <f t="shared" si="3"/>
        <v>30</v>
      </c>
      <c r="T100" s="12">
        <v>9566.4</v>
      </c>
      <c r="U100" s="12" t="str">
        <v>Earning ₹48k</v>
      </c>
      <c r="V100" s="12">
        <v>2990</v>
      </c>
      <c r="W100" s="12" t="str">
        <v>Review</v>
      </c>
    </row>
    <row r="101" spans="1:23" x14ac:dyDescent="0.3">
      <c r="A101" t="s">
        <v>107</v>
      </c>
      <c r="B101" t="s">
        <v>307</v>
      </c>
      <c r="C101" t="s">
        <v>409</v>
      </c>
      <c r="D101" t="s">
        <v>413</v>
      </c>
      <c r="E101">
        <v>17</v>
      </c>
      <c r="F101" t="s">
        <v>415</v>
      </c>
      <c r="G101">
        <v>60274</v>
      </c>
      <c r="H101" t="s">
        <v>420</v>
      </c>
      <c r="I101" s="12" t="str">
        <v>Not Eligible</v>
      </c>
      <c r="J101" s="12" t="str">
        <v>Other</v>
      </c>
      <c r="K101" s="12" t="str">
        <v>General</v>
      </c>
      <c r="L101" s="12" t="str">
        <v>Regular</v>
      </c>
      <c r="M101" s="12" t="str">
        <v>OK</v>
      </c>
      <c r="N101" s="12" t="str">
        <v>Experienced</v>
      </c>
      <c r="O101" s="12" t="str">
        <v>Metro</v>
      </c>
      <c r="P101" s="12" t="str">
        <v>Standard</v>
      </c>
      <c r="Q101" s="12" t="str">
        <v>Long-Term</v>
      </c>
      <c r="R101" s="12">
        <f t="shared" si="2"/>
        <v>57</v>
      </c>
      <c r="S101" s="12">
        <f t="shared" si="3"/>
        <v>30</v>
      </c>
      <c r="T101" s="12">
        <v>0</v>
      </c>
      <c r="U101" s="12" t="str">
        <v>Earning ₹60k</v>
      </c>
      <c r="V101" s="12">
        <v>3546</v>
      </c>
      <c r="W101" s="12" t="str">
        <v>Review</v>
      </c>
    </row>
    <row r="102" spans="1:23" x14ac:dyDescent="0.3">
      <c r="A102" t="s">
        <v>108</v>
      </c>
      <c r="B102" t="s">
        <v>308</v>
      </c>
      <c r="C102" t="s">
        <v>412</v>
      </c>
      <c r="D102" t="s">
        <v>413</v>
      </c>
      <c r="E102">
        <v>9</v>
      </c>
      <c r="F102" t="s">
        <v>418</v>
      </c>
      <c r="G102">
        <v>90612</v>
      </c>
      <c r="H102" t="s">
        <v>420</v>
      </c>
      <c r="I102" s="12" t="str">
        <v>Not Eligible</v>
      </c>
      <c r="J102" s="12" t="str">
        <v>Other</v>
      </c>
      <c r="K102" s="12" t="str">
        <v>General</v>
      </c>
      <c r="L102" s="12" t="str">
        <v>Regular</v>
      </c>
      <c r="M102" s="12" t="str">
        <v>OK</v>
      </c>
      <c r="N102" s="12" t="str">
        <v>Experienced</v>
      </c>
      <c r="O102" s="12" t="str">
        <v>Non-Metro</v>
      </c>
      <c r="P102" s="12" t="str">
        <v>Standard</v>
      </c>
      <c r="Q102" s="12" t="str">
        <v>Mid/Short-Term</v>
      </c>
      <c r="R102" s="12">
        <f t="shared" si="2"/>
        <v>57</v>
      </c>
      <c r="S102" s="12">
        <f t="shared" si="3"/>
        <v>30</v>
      </c>
      <c r="T102" s="12">
        <v>0</v>
      </c>
      <c r="U102" s="12" t="str">
        <v>Earning ₹91k</v>
      </c>
      <c r="V102" s="12">
        <v>10068</v>
      </c>
      <c r="W102" s="12" t="str">
        <v>Review</v>
      </c>
    </row>
    <row r="103" spans="1:23" x14ac:dyDescent="0.3">
      <c r="A103" t="s">
        <v>109</v>
      </c>
      <c r="B103" t="s">
        <v>309</v>
      </c>
      <c r="C103" t="s">
        <v>408</v>
      </c>
      <c r="D103" t="s">
        <v>414</v>
      </c>
      <c r="E103">
        <v>14</v>
      </c>
      <c r="F103" t="s">
        <v>417</v>
      </c>
      <c r="G103">
        <v>138834</v>
      </c>
      <c r="H103" t="s">
        <v>421</v>
      </c>
      <c r="I103" s="12" t="str">
        <v>Eligible</v>
      </c>
      <c r="J103" s="12" t="str">
        <v>Senior Permanent</v>
      </c>
      <c r="K103" s="12" t="str">
        <v>Target Role</v>
      </c>
      <c r="L103" s="12" t="str">
        <v>High Earner</v>
      </c>
      <c r="M103" s="12" t="str">
        <v>OK</v>
      </c>
      <c r="N103" s="12" t="str">
        <v>Experienced</v>
      </c>
      <c r="O103" s="12" t="str">
        <v>Metro</v>
      </c>
      <c r="P103" s="12" t="str">
        <v>Standard</v>
      </c>
      <c r="Q103" s="12" t="str">
        <v>Mid/Short-Term</v>
      </c>
      <c r="R103" s="12">
        <f t="shared" si="2"/>
        <v>57</v>
      </c>
      <c r="S103" s="12">
        <f t="shared" si="3"/>
        <v>30</v>
      </c>
      <c r="T103" s="12">
        <v>27766.800000000003</v>
      </c>
      <c r="U103" s="12" t="str">
        <v>Earning ₹139k</v>
      </c>
      <c r="V103" s="12">
        <v>9917</v>
      </c>
      <c r="W103" s="12" t="str">
        <v>Promotable</v>
      </c>
    </row>
    <row r="104" spans="1:23" x14ac:dyDescent="0.3">
      <c r="A104" t="s">
        <v>110</v>
      </c>
      <c r="B104" t="s">
        <v>310</v>
      </c>
      <c r="C104" t="s">
        <v>409</v>
      </c>
      <c r="D104" t="s">
        <v>414</v>
      </c>
      <c r="E104">
        <v>9</v>
      </c>
      <c r="F104" t="s">
        <v>418</v>
      </c>
      <c r="G104">
        <v>107972</v>
      </c>
      <c r="H104" t="s">
        <v>421</v>
      </c>
      <c r="I104" s="12" t="str">
        <v>Eligible</v>
      </c>
      <c r="J104" s="12" t="str">
        <v>Senior Permanent</v>
      </c>
      <c r="K104" s="12" t="str">
        <v>General</v>
      </c>
      <c r="L104" s="12" t="str">
        <v>High Earner</v>
      </c>
      <c r="M104" s="12" t="str">
        <v>OK</v>
      </c>
      <c r="N104" s="12" t="str">
        <v>Experienced</v>
      </c>
      <c r="O104" s="12" t="str">
        <v>Non-Metro</v>
      </c>
      <c r="P104" s="12" t="str">
        <v>Standard</v>
      </c>
      <c r="Q104" s="12" t="str">
        <v>Mid/Short-Term</v>
      </c>
      <c r="R104" s="12">
        <f t="shared" si="2"/>
        <v>56</v>
      </c>
      <c r="S104" s="12">
        <f t="shared" si="3"/>
        <v>29</v>
      </c>
      <c r="T104" s="12">
        <v>21594.400000000001</v>
      </c>
      <c r="U104" s="12" t="str">
        <v>Earning ₹108k</v>
      </c>
      <c r="V104" s="12">
        <v>11997</v>
      </c>
      <c r="W104" s="12" t="str">
        <v>Review</v>
      </c>
    </row>
    <row r="105" spans="1:23" x14ac:dyDescent="0.3">
      <c r="A105" t="s">
        <v>111</v>
      </c>
      <c r="B105" t="s">
        <v>311</v>
      </c>
      <c r="C105" t="s">
        <v>408</v>
      </c>
      <c r="D105" t="s">
        <v>413</v>
      </c>
      <c r="E105">
        <v>2</v>
      </c>
      <c r="F105" t="s">
        <v>417</v>
      </c>
      <c r="G105">
        <v>57409</v>
      </c>
      <c r="H105" t="s">
        <v>421</v>
      </c>
      <c r="I105" s="12" t="str">
        <v>Eligible</v>
      </c>
      <c r="J105" s="12" t="str">
        <v>Other</v>
      </c>
      <c r="K105" s="12" t="str">
        <v>Target Role</v>
      </c>
      <c r="L105" s="12" t="str">
        <v>Regular</v>
      </c>
      <c r="M105" s="12" t="str">
        <v>OK</v>
      </c>
      <c r="N105" s="12" t="str">
        <v>Junior</v>
      </c>
      <c r="O105" s="12" t="str">
        <v>Metro</v>
      </c>
      <c r="P105" s="12" t="str">
        <v>Standard</v>
      </c>
      <c r="Q105" s="12" t="str">
        <v>Mid/Short-Term</v>
      </c>
      <c r="R105" s="12">
        <f t="shared" si="2"/>
        <v>55</v>
      </c>
      <c r="S105" s="12">
        <f t="shared" si="3"/>
        <v>28</v>
      </c>
      <c r="T105" s="12">
        <v>11481.800000000001</v>
      </c>
      <c r="U105" s="12" t="str">
        <v>Earning ₹57k</v>
      </c>
      <c r="V105" s="12">
        <v>28705</v>
      </c>
      <c r="W105" s="12" t="str">
        <v>Review</v>
      </c>
    </row>
    <row r="106" spans="1:23" x14ac:dyDescent="0.3">
      <c r="A106" t="s">
        <v>112</v>
      </c>
      <c r="B106" t="s">
        <v>312</v>
      </c>
      <c r="C106" t="s">
        <v>410</v>
      </c>
      <c r="D106" t="s">
        <v>414</v>
      </c>
      <c r="E106">
        <v>24</v>
      </c>
      <c r="F106" t="s">
        <v>417</v>
      </c>
      <c r="G106">
        <v>44227</v>
      </c>
      <c r="H106" t="s">
        <v>420</v>
      </c>
      <c r="I106" s="12" t="str">
        <v>Not Eligible</v>
      </c>
      <c r="J106" s="12" t="str">
        <v>Senior Permanent</v>
      </c>
      <c r="K106" s="12" t="str">
        <v>Target Role</v>
      </c>
      <c r="L106" s="12" t="str">
        <v>Regular</v>
      </c>
      <c r="M106" s="12" t="str">
        <v>OK</v>
      </c>
      <c r="N106" s="12" t="str">
        <v>Experienced</v>
      </c>
      <c r="O106" s="12" t="str">
        <v>Metro</v>
      </c>
      <c r="P106" s="12" t="str">
        <v>Standard</v>
      </c>
      <c r="Q106" s="12" t="str">
        <v>Long-Term</v>
      </c>
      <c r="R106" s="12">
        <f t="shared" si="2"/>
        <v>54</v>
      </c>
      <c r="S106" s="12">
        <f t="shared" si="3"/>
        <v>28</v>
      </c>
      <c r="T106" s="12">
        <v>0</v>
      </c>
      <c r="U106" s="12" t="str">
        <v>Earning ₹44k</v>
      </c>
      <c r="V106" s="12">
        <v>1843</v>
      </c>
      <c r="W106" s="12" t="str">
        <v>Review</v>
      </c>
    </row>
    <row r="107" spans="1:23" x14ac:dyDescent="0.3">
      <c r="A107" t="s">
        <v>113</v>
      </c>
      <c r="B107" t="s">
        <v>313</v>
      </c>
      <c r="C107" t="s">
        <v>410</v>
      </c>
      <c r="D107" t="s">
        <v>414</v>
      </c>
      <c r="E107">
        <v>28</v>
      </c>
      <c r="F107" t="s">
        <v>418</v>
      </c>
      <c r="G107">
        <v>51323</v>
      </c>
      <c r="H107" t="s">
        <v>420</v>
      </c>
      <c r="I107" s="12" t="str">
        <v>Not Eligible</v>
      </c>
      <c r="J107" s="12" t="str">
        <v>Senior Permanent</v>
      </c>
      <c r="K107" s="12" t="str">
        <v>General</v>
      </c>
      <c r="L107" s="12" t="str">
        <v>Regular</v>
      </c>
      <c r="M107" s="12" t="str">
        <v>OK</v>
      </c>
      <c r="N107" s="12" t="str">
        <v>Experienced</v>
      </c>
      <c r="O107" s="12" t="str">
        <v>Non-Metro</v>
      </c>
      <c r="P107" s="12" t="str">
        <v>Standard</v>
      </c>
      <c r="Q107" s="12" t="str">
        <v>Long-Term</v>
      </c>
      <c r="R107" s="12">
        <f t="shared" si="2"/>
        <v>54</v>
      </c>
      <c r="S107" s="12">
        <f t="shared" si="3"/>
        <v>28</v>
      </c>
      <c r="T107" s="12">
        <v>0</v>
      </c>
      <c r="U107" s="12" t="str">
        <v>Earning ₹51k</v>
      </c>
      <c r="V107" s="12">
        <v>1833</v>
      </c>
      <c r="W107" s="12" t="str">
        <v>Review</v>
      </c>
    </row>
    <row r="108" spans="1:23" x14ac:dyDescent="0.3">
      <c r="A108" t="s">
        <v>114</v>
      </c>
      <c r="B108" t="s">
        <v>314</v>
      </c>
      <c r="C108" t="s">
        <v>410</v>
      </c>
      <c r="D108" t="s">
        <v>414</v>
      </c>
      <c r="E108">
        <v>17</v>
      </c>
      <c r="F108" t="s">
        <v>415</v>
      </c>
      <c r="G108">
        <v>64389</v>
      </c>
      <c r="H108" t="s">
        <v>421</v>
      </c>
      <c r="I108" s="12" t="str">
        <v>Eligible</v>
      </c>
      <c r="J108" s="12" t="str">
        <v>Senior Permanent</v>
      </c>
      <c r="K108" s="12" t="str">
        <v>General</v>
      </c>
      <c r="L108" s="12" t="str">
        <v>Regular</v>
      </c>
      <c r="M108" s="12" t="str">
        <v>OK</v>
      </c>
      <c r="N108" s="12" t="str">
        <v>Experienced</v>
      </c>
      <c r="O108" s="12" t="str">
        <v>Metro</v>
      </c>
      <c r="P108" s="12" t="str">
        <v>Standard</v>
      </c>
      <c r="Q108" s="12" t="str">
        <v>Long-Term</v>
      </c>
      <c r="R108" s="12">
        <f t="shared" si="2"/>
        <v>54</v>
      </c>
      <c r="S108" s="12">
        <f t="shared" si="3"/>
        <v>28</v>
      </c>
      <c r="T108" s="12">
        <v>12877.800000000001</v>
      </c>
      <c r="U108" s="12" t="str">
        <v>Earning ₹64k</v>
      </c>
      <c r="V108" s="12">
        <v>3788</v>
      </c>
      <c r="W108" s="12" t="str">
        <v>Review</v>
      </c>
    </row>
    <row r="109" spans="1:23" x14ac:dyDescent="0.3">
      <c r="A109" t="s">
        <v>115</v>
      </c>
      <c r="B109" t="s">
        <v>315</v>
      </c>
      <c r="C109" t="s">
        <v>409</v>
      </c>
      <c r="D109" t="s">
        <v>413</v>
      </c>
      <c r="E109">
        <v>19</v>
      </c>
      <c r="F109" t="s">
        <v>416</v>
      </c>
      <c r="G109">
        <v>34601</v>
      </c>
      <c r="H109" t="s">
        <v>421</v>
      </c>
      <c r="I109" s="12" t="str">
        <v>Eligible</v>
      </c>
      <c r="J109" s="12" t="str">
        <v>Other</v>
      </c>
      <c r="K109" s="12" t="str">
        <v>General</v>
      </c>
      <c r="L109" s="12" t="str">
        <v>Regular</v>
      </c>
      <c r="M109" s="12" t="str">
        <v>OK</v>
      </c>
      <c r="N109" s="12" t="str">
        <v>Experienced</v>
      </c>
      <c r="O109" s="12" t="str">
        <v>Non-Metro</v>
      </c>
      <c r="P109" s="12" t="str">
        <v>Low-Pay Contract</v>
      </c>
      <c r="Q109" s="12" t="str">
        <v>Long-Term</v>
      </c>
      <c r="R109" s="12">
        <f t="shared" si="2"/>
        <v>53</v>
      </c>
      <c r="S109" s="12">
        <f t="shared" si="3"/>
        <v>28</v>
      </c>
      <c r="T109" s="12">
        <v>6920.2000000000007</v>
      </c>
      <c r="U109" s="12" t="str">
        <v>Earning ₹35k</v>
      </c>
      <c r="V109" s="12">
        <v>1821</v>
      </c>
      <c r="W109" s="12" t="str">
        <v>Review</v>
      </c>
    </row>
    <row r="110" spans="1:23" x14ac:dyDescent="0.3">
      <c r="A110" t="s">
        <v>116</v>
      </c>
      <c r="B110" t="s">
        <v>316</v>
      </c>
      <c r="C110" t="s">
        <v>410</v>
      </c>
      <c r="D110" t="s">
        <v>414</v>
      </c>
      <c r="E110">
        <v>3</v>
      </c>
      <c r="F110" t="s">
        <v>415</v>
      </c>
      <c r="G110">
        <v>93850</v>
      </c>
      <c r="H110" t="s">
        <v>421</v>
      </c>
      <c r="I110" s="12" t="str">
        <v>Eligible</v>
      </c>
      <c r="J110" s="12" t="str">
        <v>Other</v>
      </c>
      <c r="K110" s="12" t="str">
        <v>General</v>
      </c>
      <c r="L110" s="12" t="str">
        <v>Regular</v>
      </c>
      <c r="M110" s="12" t="str">
        <v>OK</v>
      </c>
      <c r="N110" s="12" t="str">
        <v>Experienced</v>
      </c>
      <c r="O110" s="12" t="str">
        <v>Metro</v>
      </c>
      <c r="P110" s="12" t="str">
        <v>Standard</v>
      </c>
      <c r="Q110" s="12" t="str">
        <v>Mid/Short-Term</v>
      </c>
      <c r="R110" s="12">
        <f t="shared" si="2"/>
        <v>52</v>
      </c>
      <c r="S110" s="12">
        <f t="shared" si="3"/>
        <v>28</v>
      </c>
      <c r="T110" s="12">
        <v>18770</v>
      </c>
      <c r="U110" s="12" t="str">
        <v>Earning ₹94k</v>
      </c>
      <c r="V110" s="12">
        <v>31283</v>
      </c>
      <c r="W110" s="12" t="str">
        <v>Review</v>
      </c>
    </row>
    <row r="111" spans="1:23" x14ac:dyDescent="0.3">
      <c r="A111" t="s">
        <v>117</v>
      </c>
      <c r="B111" t="s">
        <v>317</v>
      </c>
      <c r="C111" t="s">
        <v>408</v>
      </c>
      <c r="D111" t="s">
        <v>414</v>
      </c>
      <c r="E111">
        <v>7</v>
      </c>
      <c r="F111" t="s">
        <v>419</v>
      </c>
      <c r="G111">
        <v>34106</v>
      </c>
      <c r="H111" t="s">
        <v>421</v>
      </c>
      <c r="I111" s="12" t="str">
        <v>Eligible</v>
      </c>
      <c r="J111" s="12" t="str">
        <v>Senior Permanent</v>
      </c>
      <c r="K111" s="12" t="str">
        <v>Target Role</v>
      </c>
      <c r="L111" s="12" t="str">
        <v>Regular</v>
      </c>
      <c r="M111" s="12" t="str">
        <v>OK</v>
      </c>
      <c r="N111" s="12" t="str">
        <v>Junior</v>
      </c>
      <c r="O111" s="12" t="str">
        <v>Metro</v>
      </c>
      <c r="P111" s="12" t="str">
        <v>Standard</v>
      </c>
      <c r="Q111" s="12" t="str">
        <v>Mid/Short-Term</v>
      </c>
      <c r="R111" s="12">
        <f t="shared" si="2"/>
        <v>51</v>
      </c>
      <c r="S111" s="12">
        <f t="shared" si="3"/>
        <v>27</v>
      </c>
      <c r="T111" s="12">
        <v>6821.2000000000007</v>
      </c>
      <c r="U111" s="12" t="str">
        <v>Earning ₹34k</v>
      </c>
      <c r="V111" s="12">
        <v>4872</v>
      </c>
      <c r="W111" s="12" t="str">
        <v>Review</v>
      </c>
    </row>
    <row r="112" spans="1:23" x14ac:dyDescent="0.3">
      <c r="A112" t="s">
        <v>118</v>
      </c>
      <c r="B112" t="s">
        <v>318</v>
      </c>
      <c r="C112" t="s">
        <v>409</v>
      </c>
      <c r="D112" t="s">
        <v>413</v>
      </c>
      <c r="E112">
        <v>8</v>
      </c>
      <c r="F112" t="s">
        <v>419</v>
      </c>
      <c r="G112">
        <v>80458</v>
      </c>
      <c r="H112" t="s">
        <v>421</v>
      </c>
      <c r="I112" s="12" t="str">
        <v>Eligible</v>
      </c>
      <c r="J112" s="12" t="str">
        <v>Other</v>
      </c>
      <c r="K112" s="12" t="str">
        <v>General</v>
      </c>
      <c r="L112" s="12" t="str">
        <v>Regular</v>
      </c>
      <c r="M112" s="12" t="str">
        <v>OK</v>
      </c>
      <c r="N112" s="12" t="str">
        <v>Junior</v>
      </c>
      <c r="O112" s="12" t="str">
        <v>Metro</v>
      </c>
      <c r="P112" s="12" t="str">
        <v>Standard</v>
      </c>
      <c r="Q112" s="12" t="str">
        <v>Mid/Short-Term</v>
      </c>
      <c r="R112" s="12">
        <f t="shared" si="2"/>
        <v>50</v>
      </c>
      <c r="S112" s="12">
        <f t="shared" si="3"/>
        <v>27</v>
      </c>
      <c r="T112" s="12">
        <v>16091.6</v>
      </c>
      <c r="U112" s="12" t="str">
        <v>Earning ₹80k</v>
      </c>
      <c r="V112" s="12">
        <v>10057</v>
      </c>
      <c r="W112" s="12" t="str">
        <v>Review</v>
      </c>
    </row>
    <row r="113" spans="1:23" x14ac:dyDescent="0.3">
      <c r="A113" t="s">
        <v>119</v>
      </c>
      <c r="B113" t="s">
        <v>319</v>
      </c>
      <c r="C113" t="s">
        <v>410</v>
      </c>
      <c r="D113" t="s">
        <v>413</v>
      </c>
      <c r="E113">
        <v>23</v>
      </c>
      <c r="F113" t="s">
        <v>415</v>
      </c>
      <c r="G113">
        <v>110930</v>
      </c>
      <c r="H113" t="s">
        <v>420</v>
      </c>
      <c r="I113" s="12" t="str">
        <v>Not Eligible</v>
      </c>
      <c r="J113" s="12" t="str">
        <v>Other</v>
      </c>
      <c r="K113" s="12" t="str">
        <v>General</v>
      </c>
      <c r="L113" s="12" t="str">
        <v>High Earner</v>
      </c>
      <c r="M113" s="12" t="str">
        <v>OK</v>
      </c>
      <c r="N113" s="12" t="str">
        <v>Experienced</v>
      </c>
      <c r="O113" s="12" t="str">
        <v>Metro</v>
      </c>
      <c r="P113" s="12" t="str">
        <v>Standard</v>
      </c>
      <c r="Q113" s="12" t="str">
        <v>Long-Term</v>
      </c>
      <c r="R113" s="12">
        <f t="shared" si="2"/>
        <v>49</v>
      </c>
      <c r="S113" s="12">
        <f t="shared" si="3"/>
        <v>27</v>
      </c>
      <c r="T113" s="12">
        <v>0</v>
      </c>
      <c r="U113" s="12" t="str">
        <v>Earning ₹111k</v>
      </c>
      <c r="V113" s="12">
        <v>4823</v>
      </c>
      <c r="W113" s="12" t="str">
        <v>Promotable</v>
      </c>
    </row>
    <row r="114" spans="1:23" x14ac:dyDescent="0.3">
      <c r="A114" t="s">
        <v>120</v>
      </c>
      <c r="B114" t="s">
        <v>320</v>
      </c>
      <c r="C114" t="s">
        <v>408</v>
      </c>
      <c r="D114" t="s">
        <v>414</v>
      </c>
      <c r="E114">
        <v>9</v>
      </c>
      <c r="F114" t="s">
        <v>416</v>
      </c>
      <c r="G114">
        <v>44691</v>
      </c>
      <c r="H114" t="s">
        <v>421</v>
      </c>
      <c r="I114" s="12" t="str">
        <v>Eligible</v>
      </c>
      <c r="J114" s="12" t="str">
        <v>Senior Permanent</v>
      </c>
      <c r="K114" s="12" t="str">
        <v>Target Role</v>
      </c>
      <c r="L114" s="12" t="str">
        <v>Regular</v>
      </c>
      <c r="M114" s="12" t="str">
        <v>OK</v>
      </c>
      <c r="N114" s="12" t="str">
        <v>Junior</v>
      </c>
      <c r="O114" s="12" t="str">
        <v>Non-Metro</v>
      </c>
      <c r="P114" s="12" t="str">
        <v>Standard</v>
      </c>
      <c r="Q114" s="12" t="str">
        <v>Mid/Short-Term</v>
      </c>
      <c r="R114" s="12">
        <f t="shared" si="2"/>
        <v>49</v>
      </c>
      <c r="S114" s="12">
        <f t="shared" si="3"/>
        <v>27</v>
      </c>
      <c r="T114" s="12">
        <v>8938.2000000000007</v>
      </c>
      <c r="U114" s="12" t="str">
        <v>Earning ₹45k</v>
      </c>
      <c r="V114" s="12">
        <v>4966</v>
      </c>
      <c r="W114" s="12" t="str">
        <v>Review</v>
      </c>
    </row>
    <row r="115" spans="1:23" x14ac:dyDescent="0.3">
      <c r="A115" t="s">
        <v>121</v>
      </c>
      <c r="B115" t="s">
        <v>321</v>
      </c>
      <c r="C115" t="s">
        <v>410</v>
      </c>
      <c r="D115" t="s">
        <v>414</v>
      </c>
      <c r="E115">
        <v>16</v>
      </c>
      <c r="F115" t="s">
        <v>415</v>
      </c>
      <c r="G115">
        <v>92438</v>
      </c>
      <c r="H115" t="s">
        <v>420</v>
      </c>
      <c r="I115" s="12" t="str">
        <v>Not Eligible</v>
      </c>
      <c r="J115" s="12" t="str">
        <v>Senior Permanent</v>
      </c>
      <c r="K115" s="12" t="str">
        <v>General</v>
      </c>
      <c r="L115" s="12" t="str">
        <v>Regular</v>
      </c>
      <c r="M115" s="12" t="str">
        <v>OK</v>
      </c>
      <c r="N115" s="12" t="str">
        <v>Experienced</v>
      </c>
      <c r="O115" s="12" t="str">
        <v>Metro</v>
      </c>
      <c r="P115" s="12" t="str">
        <v>Standard</v>
      </c>
      <c r="Q115" s="12" t="str">
        <v>Long-Term</v>
      </c>
      <c r="R115" s="12">
        <f t="shared" si="2"/>
        <v>48</v>
      </c>
      <c r="S115" s="12">
        <f t="shared" si="3"/>
        <v>27</v>
      </c>
      <c r="T115" s="12">
        <v>0</v>
      </c>
      <c r="U115" s="12" t="str">
        <v>Earning ₹92k</v>
      </c>
      <c r="V115" s="12">
        <v>5777</v>
      </c>
      <c r="W115" s="12" t="str">
        <v>Promotable</v>
      </c>
    </row>
    <row r="116" spans="1:23" x14ac:dyDescent="0.3">
      <c r="A116" t="s">
        <v>122</v>
      </c>
      <c r="B116" t="s">
        <v>322</v>
      </c>
      <c r="C116" t="s">
        <v>411</v>
      </c>
      <c r="D116" t="s">
        <v>413</v>
      </c>
      <c r="E116">
        <v>23</v>
      </c>
      <c r="F116" t="s">
        <v>419</v>
      </c>
      <c r="G116">
        <v>109502</v>
      </c>
      <c r="H116" t="s">
        <v>421</v>
      </c>
      <c r="I116" s="12" t="str">
        <v>Eligible</v>
      </c>
      <c r="J116" s="12" t="str">
        <v>Other</v>
      </c>
      <c r="K116" s="12" t="str">
        <v>General</v>
      </c>
      <c r="L116" s="12" t="str">
        <v>High Earner</v>
      </c>
      <c r="M116" s="12" t="str">
        <v>OK</v>
      </c>
      <c r="N116" s="12" t="str">
        <v>Experienced</v>
      </c>
      <c r="O116" s="12" t="str">
        <v>Metro</v>
      </c>
      <c r="P116" s="12" t="str">
        <v>Standard</v>
      </c>
      <c r="Q116" s="12" t="str">
        <v>Long-Term</v>
      </c>
      <c r="R116" s="12">
        <f t="shared" si="2"/>
        <v>48</v>
      </c>
      <c r="S116" s="12">
        <f t="shared" si="3"/>
        <v>26</v>
      </c>
      <c r="T116" s="12">
        <v>21900.400000000001</v>
      </c>
      <c r="U116" s="12" t="str">
        <v>Earning ₹110k</v>
      </c>
      <c r="V116" s="12">
        <v>4761</v>
      </c>
      <c r="W116" s="12" t="str">
        <v>Promotable</v>
      </c>
    </row>
    <row r="117" spans="1:23" x14ac:dyDescent="0.3">
      <c r="A117" t="s">
        <v>123</v>
      </c>
      <c r="B117" t="s">
        <v>323</v>
      </c>
      <c r="C117" t="s">
        <v>409</v>
      </c>
      <c r="D117" t="s">
        <v>413</v>
      </c>
      <c r="E117">
        <v>12</v>
      </c>
      <c r="F117" t="s">
        <v>415</v>
      </c>
      <c r="G117">
        <v>110105</v>
      </c>
      <c r="H117" t="s">
        <v>420</v>
      </c>
      <c r="I117" s="12" t="str">
        <v>Not Eligible</v>
      </c>
      <c r="J117" s="12" t="str">
        <v>Other</v>
      </c>
      <c r="K117" s="12" t="str">
        <v>General</v>
      </c>
      <c r="L117" s="12" t="str">
        <v>High Earner</v>
      </c>
      <c r="M117" s="12" t="str">
        <v>OK</v>
      </c>
      <c r="N117" s="12" t="str">
        <v>Experienced</v>
      </c>
      <c r="O117" s="12" t="str">
        <v>Metro</v>
      </c>
      <c r="P117" s="12" t="str">
        <v>Standard</v>
      </c>
      <c r="Q117" s="12" t="str">
        <v>Mid/Short-Term</v>
      </c>
      <c r="R117" s="12">
        <f t="shared" si="2"/>
        <v>47</v>
      </c>
      <c r="S117" s="12">
        <f t="shared" si="3"/>
        <v>26</v>
      </c>
      <c r="T117" s="12">
        <v>0</v>
      </c>
      <c r="U117" s="12" t="str">
        <v>Earning ₹110k</v>
      </c>
      <c r="V117" s="12">
        <v>9175</v>
      </c>
      <c r="W117" s="12" t="str">
        <v>Promotable</v>
      </c>
    </row>
    <row r="118" spans="1:23" x14ac:dyDescent="0.3">
      <c r="A118" t="s">
        <v>124</v>
      </c>
      <c r="B118" t="s">
        <v>324</v>
      </c>
      <c r="C118" t="s">
        <v>410</v>
      </c>
      <c r="D118" t="s">
        <v>414</v>
      </c>
      <c r="E118">
        <v>26</v>
      </c>
      <c r="F118" t="s">
        <v>419</v>
      </c>
      <c r="G118">
        <v>37501</v>
      </c>
      <c r="H118" t="s">
        <v>421</v>
      </c>
      <c r="I118" s="12" t="str">
        <v>Eligible</v>
      </c>
      <c r="J118" s="12" t="str">
        <v>Senior Permanent</v>
      </c>
      <c r="K118" s="12" t="str">
        <v>General</v>
      </c>
      <c r="L118" s="12" t="str">
        <v>Regular</v>
      </c>
      <c r="M118" s="12" t="str">
        <v>OK</v>
      </c>
      <c r="N118" s="12" t="str">
        <v>Experienced</v>
      </c>
      <c r="O118" s="12" t="str">
        <v>Metro</v>
      </c>
      <c r="P118" s="12" t="str">
        <v>Standard</v>
      </c>
      <c r="Q118" s="12" t="str">
        <v>Long-Term</v>
      </c>
      <c r="R118" s="12">
        <f t="shared" si="2"/>
        <v>47</v>
      </c>
      <c r="S118" s="12">
        <f t="shared" si="3"/>
        <v>26</v>
      </c>
      <c r="T118" s="12">
        <v>7500.2000000000007</v>
      </c>
      <c r="U118" s="12" t="str">
        <v>Earning ₹38k</v>
      </c>
      <c r="V118" s="12">
        <v>1442</v>
      </c>
      <c r="W118" s="12" t="str">
        <v>Review</v>
      </c>
    </row>
    <row r="119" spans="1:23" x14ac:dyDescent="0.3">
      <c r="A119" t="s">
        <v>125</v>
      </c>
      <c r="B119" t="s">
        <v>325</v>
      </c>
      <c r="C119" t="s">
        <v>409</v>
      </c>
      <c r="D119" t="s">
        <v>414</v>
      </c>
      <c r="E119">
        <v>23</v>
      </c>
      <c r="F119" t="s">
        <v>418</v>
      </c>
      <c r="G119">
        <v>120537</v>
      </c>
      <c r="H119" t="s">
        <v>421</v>
      </c>
      <c r="I119" s="12" t="str">
        <v>Eligible</v>
      </c>
      <c r="J119" s="12" t="str">
        <v>Senior Permanent</v>
      </c>
      <c r="K119" s="12" t="str">
        <v>General</v>
      </c>
      <c r="L119" s="12" t="str">
        <v>High Earner</v>
      </c>
      <c r="M119" s="12" t="str">
        <v>OK</v>
      </c>
      <c r="N119" s="12" t="str">
        <v>Experienced</v>
      </c>
      <c r="O119" s="12" t="str">
        <v>Non-Metro</v>
      </c>
      <c r="P119" s="12" t="str">
        <v>Standard</v>
      </c>
      <c r="Q119" s="12" t="str">
        <v>Long-Term</v>
      </c>
      <c r="R119" s="12">
        <f t="shared" si="2"/>
        <v>46</v>
      </c>
      <c r="S119" s="12">
        <f t="shared" si="3"/>
        <v>26</v>
      </c>
      <c r="T119" s="12">
        <v>24107.4</v>
      </c>
      <c r="U119" s="12" t="str">
        <v>Earning ₹121k</v>
      </c>
      <c r="V119" s="12">
        <v>5241</v>
      </c>
      <c r="W119" s="12" t="str">
        <v>Promotable</v>
      </c>
    </row>
    <row r="120" spans="1:23" x14ac:dyDescent="0.3">
      <c r="A120" t="s">
        <v>126</v>
      </c>
      <c r="B120" t="s">
        <v>326</v>
      </c>
      <c r="C120" t="s">
        <v>409</v>
      </c>
      <c r="D120" t="s">
        <v>413</v>
      </c>
      <c r="E120">
        <v>16</v>
      </c>
      <c r="F120" t="s">
        <v>419</v>
      </c>
      <c r="G120">
        <v>137436</v>
      </c>
      <c r="H120" t="s">
        <v>421</v>
      </c>
      <c r="I120" s="12" t="str">
        <v>Eligible</v>
      </c>
      <c r="J120" s="12" t="str">
        <v>Other</v>
      </c>
      <c r="K120" s="12" t="str">
        <v>General</v>
      </c>
      <c r="L120" s="12" t="str">
        <v>High Earner</v>
      </c>
      <c r="M120" s="12" t="str">
        <v>OK</v>
      </c>
      <c r="N120" s="12" t="str">
        <v>Experienced</v>
      </c>
      <c r="O120" s="12" t="str">
        <v>Metro</v>
      </c>
      <c r="P120" s="12" t="str">
        <v>Standard</v>
      </c>
      <c r="Q120" s="12" t="str">
        <v>Long-Term</v>
      </c>
      <c r="R120" s="12">
        <f t="shared" si="2"/>
        <v>45</v>
      </c>
      <c r="S120" s="12">
        <f t="shared" si="3"/>
        <v>25</v>
      </c>
      <c r="T120" s="12">
        <v>27487.200000000001</v>
      </c>
      <c r="U120" s="12" t="str">
        <v>Earning ₹137k</v>
      </c>
      <c r="V120" s="12">
        <v>8590</v>
      </c>
      <c r="W120" s="12" t="str">
        <v>Promotable</v>
      </c>
    </row>
    <row r="121" spans="1:23" x14ac:dyDescent="0.3">
      <c r="A121" t="s">
        <v>127</v>
      </c>
      <c r="B121" t="s">
        <v>327</v>
      </c>
      <c r="C121" t="s">
        <v>408</v>
      </c>
      <c r="D121" t="s">
        <v>414</v>
      </c>
      <c r="E121">
        <v>30</v>
      </c>
      <c r="F121" t="s">
        <v>416</v>
      </c>
      <c r="G121">
        <v>144869</v>
      </c>
      <c r="H121" t="s">
        <v>421</v>
      </c>
      <c r="I121" s="12" t="str">
        <v>Eligible</v>
      </c>
      <c r="J121" s="12" t="str">
        <v>Senior Permanent</v>
      </c>
      <c r="K121" s="12" t="str">
        <v>Target Role</v>
      </c>
      <c r="L121" s="12" t="str">
        <v>High Earner</v>
      </c>
      <c r="M121" s="12" t="str">
        <v>OK</v>
      </c>
      <c r="N121" s="12" t="str">
        <v>Experienced</v>
      </c>
      <c r="O121" s="12" t="str">
        <v>Non-Metro</v>
      </c>
      <c r="P121" s="12" t="str">
        <v>Standard</v>
      </c>
      <c r="Q121" s="12" t="str">
        <v>Long-Term</v>
      </c>
      <c r="R121" s="12">
        <f t="shared" si="2"/>
        <v>44</v>
      </c>
      <c r="S121" s="12">
        <f t="shared" si="3"/>
        <v>25</v>
      </c>
      <c r="T121" s="12">
        <v>28973.800000000003</v>
      </c>
      <c r="U121" s="12" t="str">
        <v>Earning ₹145k</v>
      </c>
      <c r="V121" s="12">
        <v>4829</v>
      </c>
      <c r="W121" s="12" t="str">
        <v>Promotable</v>
      </c>
    </row>
    <row r="122" spans="1:23" x14ac:dyDescent="0.3">
      <c r="A122" t="s">
        <v>128</v>
      </c>
      <c r="B122" t="s">
        <v>328</v>
      </c>
      <c r="C122" t="s">
        <v>412</v>
      </c>
      <c r="D122" t="s">
        <v>413</v>
      </c>
      <c r="E122">
        <v>0</v>
      </c>
      <c r="F122" t="s">
        <v>416</v>
      </c>
      <c r="G122">
        <v>108600</v>
      </c>
      <c r="H122" t="s">
        <v>421</v>
      </c>
      <c r="I122" s="12" t="str">
        <v>Eligible</v>
      </c>
      <c r="J122" s="12" t="str">
        <v>Other</v>
      </c>
      <c r="K122" s="12" t="str">
        <v>General</v>
      </c>
      <c r="L122" s="12" t="str">
        <v>High Earner</v>
      </c>
      <c r="M122" s="12" t="str">
        <v>OK</v>
      </c>
      <c r="N122" s="12" t="str">
        <v>Experienced</v>
      </c>
      <c r="O122" s="12" t="str">
        <v>Non-Metro</v>
      </c>
      <c r="P122" s="12" t="str">
        <v>Standard</v>
      </c>
      <c r="Q122" s="12" t="str">
        <v>Mid/Short-Term</v>
      </c>
      <c r="R122" s="12">
        <f t="shared" si="2"/>
        <v>43</v>
      </c>
      <c r="S122" s="12">
        <f t="shared" si="3"/>
        <v>24</v>
      </c>
      <c r="T122" s="12">
        <v>21720</v>
      </c>
      <c r="U122" s="12" t="str">
        <v>Earning ₹109k</v>
      </c>
      <c r="V122" s="12" t="str">
        <v>Check Data</v>
      </c>
      <c r="W122" s="12" t="str">
        <v>Review</v>
      </c>
    </row>
    <row r="123" spans="1:23" x14ac:dyDescent="0.3">
      <c r="A123" t="s">
        <v>129</v>
      </c>
      <c r="B123" t="s">
        <v>329</v>
      </c>
      <c r="C123" t="s">
        <v>409</v>
      </c>
      <c r="D123" t="s">
        <v>413</v>
      </c>
      <c r="E123">
        <v>19</v>
      </c>
      <c r="F123" t="s">
        <v>418</v>
      </c>
      <c r="G123">
        <v>55961</v>
      </c>
      <c r="H123" t="s">
        <v>420</v>
      </c>
      <c r="I123" s="12" t="str">
        <v>Not Eligible</v>
      </c>
      <c r="J123" s="12" t="str">
        <v>Other</v>
      </c>
      <c r="K123" s="12" t="str">
        <v>General</v>
      </c>
      <c r="L123" s="12" t="str">
        <v>Regular</v>
      </c>
      <c r="M123" s="12" t="str">
        <v>OK</v>
      </c>
      <c r="N123" s="12" t="str">
        <v>Experienced</v>
      </c>
      <c r="O123" s="12" t="str">
        <v>Non-Metro</v>
      </c>
      <c r="P123" s="12" t="str">
        <v>Standard</v>
      </c>
      <c r="Q123" s="12" t="str">
        <v>Long-Term</v>
      </c>
      <c r="R123" s="12">
        <f t="shared" si="2"/>
        <v>42</v>
      </c>
      <c r="S123" s="12">
        <f t="shared" si="3"/>
        <v>24</v>
      </c>
      <c r="T123" s="12">
        <v>0</v>
      </c>
      <c r="U123" s="12" t="str">
        <v>Earning ₹56k</v>
      </c>
      <c r="V123" s="12">
        <v>2945</v>
      </c>
      <c r="W123" s="12" t="str">
        <v>Review</v>
      </c>
    </row>
    <row r="124" spans="1:23" x14ac:dyDescent="0.3">
      <c r="A124" t="s">
        <v>130</v>
      </c>
      <c r="B124" t="s">
        <v>330</v>
      </c>
      <c r="C124" t="s">
        <v>410</v>
      </c>
      <c r="D124" t="s">
        <v>413</v>
      </c>
      <c r="E124">
        <v>10</v>
      </c>
      <c r="F124" t="s">
        <v>419</v>
      </c>
      <c r="G124">
        <v>30784</v>
      </c>
      <c r="H124" t="s">
        <v>421</v>
      </c>
      <c r="I124" s="12" t="str">
        <v>Eligible</v>
      </c>
      <c r="J124" s="12" t="str">
        <v>Other</v>
      </c>
      <c r="K124" s="12" t="str">
        <v>General</v>
      </c>
      <c r="L124" s="12" t="str">
        <v>Regular</v>
      </c>
      <c r="M124" s="12" t="str">
        <v>OK</v>
      </c>
      <c r="N124" s="12" t="str">
        <v>Junior</v>
      </c>
      <c r="O124" s="12" t="str">
        <v>Metro</v>
      </c>
      <c r="P124" s="12" t="str">
        <v>Low-Pay Contract</v>
      </c>
      <c r="Q124" s="12" t="str">
        <v>Mid/Short-Term</v>
      </c>
      <c r="R124" s="12">
        <f t="shared" si="2"/>
        <v>42</v>
      </c>
      <c r="S124" s="12">
        <f t="shared" si="3"/>
        <v>24</v>
      </c>
      <c r="T124" s="12">
        <v>6156.8</v>
      </c>
      <c r="U124" s="12" t="str">
        <v>Earning ₹31k</v>
      </c>
      <c r="V124" s="12">
        <v>3078</v>
      </c>
      <c r="W124" s="12" t="str">
        <v>Review</v>
      </c>
    </row>
    <row r="125" spans="1:23" x14ac:dyDescent="0.3">
      <c r="A125" t="s">
        <v>131</v>
      </c>
      <c r="B125" t="s">
        <v>331</v>
      </c>
      <c r="C125" t="s">
        <v>411</v>
      </c>
      <c r="D125" t="s">
        <v>413</v>
      </c>
      <c r="E125">
        <v>17</v>
      </c>
      <c r="F125" t="s">
        <v>416</v>
      </c>
      <c r="G125">
        <v>107412</v>
      </c>
      <c r="H125" t="s">
        <v>420</v>
      </c>
      <c r="I125" s="12" t="str">
        <v>Not Eligible</v>
      </c>
      <c r="J125" s="12" t="str">
        <v>Other</v>
      </c>
      <c r="K125" s="12" t="str">
        <v>General</v>
      </c>
      <c r="L125" s="12" t="str">
        <v>High Earner</v>
      </c>
      <c r="M125" s="12" t="str">
        <v>OK</v>
      </c>
      <c r="N125" s="12" t="str">
        <v>Experienced</v>
      </c>
      <c r="O125" s="12" t="str">
        <v>Non-Metro</v>
      </c>
      <c r="P125" s="12" t="str">
        <v>Standard</v>
      </c>
      <c r="Q125" s="12" t="str">
        <v>Long-Term</v>
      </c>
      <c r="R125" s="12">
        <f t="shared" si="2"/>
        <v>41</v>
      </c>
      <c r="S125" s="12">
        <f t="shared" si="3"/>
        <v>24</v>
      </c>
      <c r="T125" s="12">
        <v>0</v>
      </c>
      <c r="U125" s="12" t="str">
        <v>Earning ₹107k</v>
      </c>
      <c r="V125" s="12">
        <v>6318</v>
      </c>
      <c r="W125" s="12" t="str">
        <v>Promotable</v>
      </c>
    </row>
    <row r="126" spans="1:23" x14ac:dyDescent="0.3">
      <c r="A126" t="s">
        <v>132</v>
      </c>
      <c r="B126" t="s">
        <v>332</v>
      </c>
      <c r="C126" t="s">
        <v>410</v>
      </c>
      <c r="D126" t="s">
        <v>413</v>
      </c>
      <c r="E126">
        <v>23</v>
      </c>
      <c r="F126" t="s">
        <v>418</v>
      </c>
      <c r="G126">
        <v>54922</v>
      </c>
      <c r="H126" t="s">
        <v>420</v>
      </c>
      <c r="I126" s="12" t="str">
        <v>Not Eligible</v>
      </c>
      <c r="J126" s="12" t="str">
        <v>Other</v>
      </c>
      <c r="K126" s="12" t="str">
        <v>General</v>
      </c>
      <c r="L126" s="12" t="str">
        <v>Regular</v>
      </c>
      <c r="M126" s="12" t="str">
        <v>OK</v>
      </c>
      <c r="N126" s="12" t="str">
        <v>Experienced</v>
      </c>
      <c r="O126" s="12" t="str">
        <v>Non-Metro</v>
      </c>
      <c r="P126" s="12" t="str">
        <v>Standard</v>
      </c>
      <c r="Q126" s="12" t="str">
        <v>Long-Term</v>
      </c>
      <c r="R126" s="12">
        <f t="shared" si="2"/>
        <v>41</v>
      </c>
      <c r="S126" s="12">
        <f t="shared" si="3"/>
        <v>24</v>
      </c>
      <c r="T126" s="12">
        <v>0</v>
      </c>
      <c r="U126" s="12" t="str">
        <v>Earning ₹55k</v>
      </c>
      <c r="V126" s="12">
        <v>2388</v>
      </c>
      <c r="W126" s="12" t="str">
        <v>Review</v>
      </c>
    </row>
    <row r="127" spans="1:23" x14ac:dyDescent="0.3">
      <c r="A127" t="s">
        <v>133</v>
      </c>
      <c r="B127" t="s">
        <v>333</v>
      </c>
      <c r="C127" t="s">
        <v>408</v>
      </c>
      <c r="D127" t="s">
        <v>414</v>
      </c>
      <c r="E127">
        <v>30</v>
      </c>
      <c r="F127" t="s">
        <v>416</v>
      </c>
      <c r="G127">
        <v>55710</v>
      </c>
      <c r="H127" t="s">
        <v>420</v>
      </c>
      <c r="I127" s="12" t="str">
        <v>Not Eligible</v>
      </c>
      <c r="J127" s="12" t="str">
        <v>Senior Permanent</v>
      </c>
      <c r="K127" s="12" t="str">
        <v>Target Role</v>
      </c>
      <c r="L127" s="12" t="str">
        <v>Regular</v>
      </c>
      <c r="M127" s="12" t="str">
        <v>OK</v>
      </c>
      <c r="N127" s="12" t="str">
        <v>Experienced</v>
      </c>
      <c r="O127" s="12" t="str">
        <v>Non-Metro</v>
      </c>
      <c r="P127" s="12" t="str">
        <v>Standard</v>
      </c>
      <c r="Q127" s="12" t="str">
        <v>Long-Term</v>
      </c>
      <c r="R127" s="12">
        <f t="shared" si="2"/>
        <v>41</v>
      </c>
      <c r="S127" s="12">
        <f t="shared" si="3"/>
        <v>24</v>
      </c>
      <c r="T127" s="12">
        <v>0</v>
      </c>
      <c r="U127" s="12" t="str">
        <v>Earning ₹56k</v>
      </c>
      <c r="V127" s="12">
        <v>1857</v>
      </c>
      <c r="W127" s="12" t="str">
        <v>Review</v>
      </c>
    </row>
    <row r="128" spans="1:23" x14ac:dyDescent="0.3">
      <c r="A128" t="s">
        <v>134</v>
      </c>
      <c r="B128" t="s">
        <v>334</v>
      </c>
      <c r="C128" t="s">
        <v>412</v>
      </c>
      <c r="D128" t="s">
        <v>413</v>
      </c>
      <c r="E128">
        <v>15</v>
      </c>
      <c r="F128" t="s">
        <v>416</v>
      </c>
      <c r="G128">
        <v>39236</v>
      </c>
      <c r="H128" t="s">
        <v>420</v>
      </c>
      <c r="I128" s="12" t="str">
        <v>Not Eligible</v>
      </c>
      <c r="J128" s="12" t="str">
        <v>Other</v>
      </c>
      <c r="K128" s="12" t="str">
        <v>General</v>
      </c>
      <c r="L128" s="12" t="str">
        <v>Regular</v>
      </c>
      <c r="M128" s="12" t="str">
        <v>OK</v>
      </c>
      <c r="N128" s="12" t="str">
        <v>Experienced</v>
      </c>
      <c r="O128" s="12" t="str">
        <v>Non-Metro</v>
      </c>
      <c r="P128" s="12" t="str">
        <v>Low-Pay Contract</v>
      </c>
      <c r="Q128" s="12" t="str">
        <v>Mid/Short-Term</v>
      </c>
      <c r="R128" s="12">
        <f t="shared" si="2"/>
        <v>41</v>
      </c>
      <c r="S128" s="12">
        <f t="shared" si="3"/>
        <v>24</v>
      </c>
      <c r="T128" s="12">
        <v>0</v>
      </c>
      <c r="U128" s="12" t="str">
        <v>Earning ₹39k</v>
      </c>
      <c r="V128" s="12">
        <v>2616</v>
      </c>
      <c r="W128" s="12" t="str">
        <v>Review</v>
      </c>
    </row>
    <row r="129" spans="1:23" x14ac:dyDescent="0.3">
      <c r="A129" t="s">
        <v>135</v>
      </c>
      <c r="B129" t="s">
        <v>335</v>
      </c>
      <c r="C129" t="s">
        <v>408</v>
      </c>
      <c r="D129" t="s">
        <v>414</v>
      </c>
      <c r="E129">
        <v>30</v>
      </c>
      <c r="F129" t="s">
        <v>415</v>
      </c>
      <c r="G129">
        <v>39557</v>
      </c>
      <c r="H129" t="s">
        <v>421</v>
      </c>
      <c r="I129" s="12" t="str">
        <v>Eligible</v>
      </c>
      <c r="J129" s="12" t="str">
        <v>Senior Permanent</v>
      </c>
      <c r="K129" s="12" t="str">
        <v>Target Role</v>
      </c>
      <c r="L129" s="12" t="str">
        <v>Regular</v>
      </c>
      <c r="M129" s="12" t="str">
        <v>OK</v>
      </c>
      <c r="N129" s="12" t="str">
        <v>Experienced</v>
      </c>
      <c r="O129" s="12" t="str">
        <v>Metro</v>
      </c>
      <c r="P129" s="12" t="str">
        <v>Standard</v>
      </c>
      <c r="Q129" s="12" t="str">
        <v>Long-Term</v>
      </c>
      <c r="R129" s="12">
        <f t="shared" si="2"/>
        <v>41</v>
      </c>
      <c r="S129" s="12">
        <f t="shared" si="3"/>
        <v>24</v>
      </c>
      <c r="T129" s="12">
        <v>7911.4000000000005</v>
      </c>
      <c r="U129" s="12" t="str">
        <v>Earning ₹40k</v>
      </c>
      <c r="V129" s="12">
        <v>1319</v>
      </c>
      <c r="W129" s="12" t="str">
        <v>Review</v>
      </c>
    </row>
    <row r="130" spans="1:23" x14ac:dyDescent="0.3">
      <c r="A130" t="s">
        <v>136</v>
      </c>
      <c r="B130" t="s">
        <v>336</v>
      </c>
      <c r="C130" t="s">
        <v>409</v>
      </c>
      <c r="D130" t="s">
        <v>414</v>
      </c>
      <c r="E130">
        <v>3</v>
      </c>
      <c r="F130" t="s">
        <v>415</v>
      </c>
      <c r="G130">
        <v>93632</v>
      </c>
      <c r="H130" t="s">
        <v>421</v>
      </c>
      <c r="I130" s="12" t="str">
        <v>Eligible</v>
      </c>
      <c r="J130" s="12" t="str">
        <v>Other</v>
      </c>
      <c r="K130" s="12" t="str">
        <v>General</v>
      </c>
      <c r="L130" s="12" t="str">
        <v>Regular</v>
      </c>
      <c r="M130" s="12" t="str">
        <v>OK</v>
      </c>
      <c r="N130" s="12" t="str">
        <v>Experienced</v>
      </c>
      <c r="O130" s="12" t="str">
        <v>Metro</v>
      </c>
      <c r="P130" s="12" t="str">
        <v>Standard</v>
      </c>
      <c r="Q130" s="12" t="str">
        <v>Mid/Short-Term</v>
      </c>
      <c r="R130" s="12">
        <f t="shared" si="2"/>
        <v>40</v>
      </c>
      <c r="S130" s="12">
        <f t="shared" si="3"/>
        <v>24</v>
      </c>
      <c r="T130" s="12">
        <v>18726.400000000001</v>
      </c>
      <c r="U130" s="12" t="str">
        <v>Earning ₹94k</v>
      </c>
      <c r="V130" s="12">
        <v>31211</v>
      </c>
      <c r="W130" s="12" t="str">
        <v>Review</v>
      </c>
    </row>
    <row r="131" spans="1:23" x14ac:dyDescent="0.3">
      <c r="A131" t="s">
        <v>137</v>
      </c>
      <c r="B131" t="s">
        <v>337</v>
      </c>
      <c r="C131" t="s">
        <v>408</v>
      </c>
      <c r="D131" t="s">
        <v>414</v>
      </c>
      <c r="E131">
        <v>3</v>
      </c>
      <c r="F131" t="s">
        <v>415</v>
      </c>
      <c r="G131">
        <v>138218</v>
      </c>
      <c r="H131" t="s">
        <v>421</v>
      </c>
      <c r="I131" s="12" t="str">
        <v>Eligible</v>
      </c>
      <c r="J131" s="12" t="str">
        <v>Other</v>
      </c>
      <c r="K131" s="12" t="str">
        <v>Target Role</v>
      </c>
      <c r="L131" s="12" t="str">
        <v>High Earner</v>
      </c>
      <c r="M131" s="12" t="str">
        <v>OK</v>
      </c>
      <c r="N131" s="12" t="str">
        <v>Experienced</v>
      </c>
      <c r="O131" s="12" t="str">
        <v>Metro</v>
      </c>
      <c r="P131" s="12" t="str">
        <v>Standard</v>
      </c>
      <c r="Q131" s="12" t="str">
        <v>Mid/Short-Term</v>
      </c>
      <c r="R131" s="12">
        <f t="shared" ref="R131:R194" si="4">COUNTIF(H131:H330,"Yes")</f>
        <v>39</v>
      </c>
      <c r="S131" s="12">
        <f t="shared" ref="S131:S194" si="5">COUNTIFS(D131:D330,"Permanent",G131:G330,"&gt;75000")</f>
        <v>23</v>
      </c>
      <c r="T131" s="12">
        <v>27643.600000000002</v>
      </c>
      <c r="U131" s="12" t="str">
        <v>Earning ₹138k</v>
      </c>
      <c r="V131" s="12">
        <v>46073</v>
      </c>
      <c r="W131" s="12" t="str">
        <v>Review</v>
      </c>
    </row>
    <row r="132" spans="1:23" x14ac:dyDescent="0.3">
      <c r="A132" t="s">
        <v>138</v>
      </c>
      <c r="B132" t="s">
        <v>338</v>
      </c>
      <c r="C132" t="s">
        <v>409</v>
      </c>
      <c r="D132" t="s">
        <v>413</v>
      </c>
      <c r="E132">
        <v>5</v>
      </c>
      <c r="F132" t="s">
        <v>417</v>
      </c>
      <c r="G132">
        <v>133634</v>
      </c>
      <c r="H132" t="s">
        <v>421</v>
      </c>
      <c r="I132" s="12" t="str">
        <v>Eligible</v>
      </c>
      <c r="J132" s="12" t="str">
        <v>Other</v>
      </c>
      <c r="K132" s="12" t="str">
        <v>Target Role</v>
      </c>
      <c r="L132" s="12" t="str">
        <v>High Earner</v>
      </c>
      <c r="M132" s="12" t="str">
        <v>OK</v>
      </c>
      <c r="N132" s="12" t="str">
        <v>Experienced</v>
      </c>
      <c r="O132" s="12" t="str">
        <v>Metro</v>
      </c>
      <c r="P132" s="12" t="str">
        <v>Standard</v>
      </c>
      <c r="Q132" s="12" t="str">
        <v>Mid/Short-Term</v>
      </c>
      <c r="R132" s="12">
        <f t="shared" si="4"/>
        <v>38</v>
      </c>
      <c r="S132" s="12">
        <f t="shared" si="5"/>
        <v>22</v>
      </c>
      <c r="T132" s="12">
        <v>26726.800000000003</v>
      </c>
      <c r="U132" s="12" t="str">
        <v>Earning ₹134k</v>
      </c>
      <c r="V132" s="12">
        <v>26727</v>
      </c>
      <c r="W132" s="12" t="str">
        <v>Review</v>
      </c>
    </row>
    <row r="133" spans="1:23" x14ac:dyDescent="0.3">
      <c r="A133" t="s">
        <v>139</v>
      </c>
      <c r="B133" t="s">
        <v>339</v>
      </c>
      <c r="C133" t="s">
        <v>410</v>
      </c>
      <c r="D133" t="s">
        <v>414</v>
      </c>
      <c r="E133">
        <v>16</v>
      </c>
      <c r="F133" t="s">
        <v>415</v>
      </c>
      <c r="G133">
        <v>110606</v>
      </c>
      <c r="H133" t="s">
        <v>420</v>
      </c>
      <c r="I133" s="12" t="str">
        <v>Not Eligible</v>
      </c>
      <c r="J133" s="12" t="str">
        <v>Senior Permanent</v>
      </c>
      <c r="K133" s="12" t="str">
        <v>General</v>
      </c>
      <c r="L133" s="12" t="str">
        <v>High Earner</v>
      </c>
      <c r="M133" s="12" t="str">
        <v>OK</v>
      </c>
      <c r="N133" s="12" t="str">
        <v>Experienced</v>
      </c>
      <c r="O133" s="12" t="str">
        <v>Metro</v>
      </c>
      <c r="P133" s="12" t="str">
        <v>Standard</v>
      </c>
      <c r="Q133" s="12" t="str">
        <v>Long-Term</v>
      </c>
      <c r="R133" s="12">
        <f t="shared" si="4"/>
        <v>37</v>
      </c>
      <c r="S133" s="12">
        <f t="shared" si="5"/>
        <v>22</v>
      </c>
      <c r="T133" s="12">
        <v>0</v>
      </c>
      <c r="U133" s="12" t="str">
        <v>Earning ₹111k</v>
      </c>
      <c r="V133" s="12">
        <v>6913</v>
      </c>
      <c r="W133" s="12" t="str">
        <v>Promotable</v>
      </c>
    </row>
    <row r="134" spans="1:23" x14ac:dyDescent="0.3">
      <c r="A134" t="s">
        <v>140</v>
      </c>
      <c r="B134" t="s">
        <v>340</v>
      </c>
      <c r="C134" t="s">
        <v>410</v>
      </c>
      <c r="D134" t="s">
        <v>413</v>
      </c>
      <c r="E134">
        <v>26</v>
      </c>
      <c r="F134" t="s">
        <v>416</v>
      </c>
      <c r="G134">
        <v>38282</v>
      </c>
      <c r="H134" t="s">
        <v>421</v>
      </c>
      <c r="I134" s="12" t="str">
        <v>Eligible</v>
      </c>
      <c r="J134" s="12" t="str">
        <v>Other</v>
      </c>
      <c r="K134" s="12" t="str">
        <v>General</v>
      </c>
      <c r="L134" s="12" t="str">
        <v>Regular</v>
      </c>
      <c r="M134" s="12" t="str">
        <v>OK</v>
      </c>
      <c r="N134" s="12" t="str">
        <v>Experienced</v>
      </c>
      <c r="O134" s="12" t="str">
        <v>Non-Metro</v>
      </c>
      <c r="P134" s="12" t="str">
        <v>Low-Pay Contract</v>
      </c>
      <c r="Q134" s="12" t="str">
        <v>Long-Term</v>
      </c>
      <c r="R134" s="12">
        <f t="shared" si="4"/>
        <v>37</v>
      </c>
      <c r="S134" s="12">
        <f t="shared" si="5"/>
        <v>21</v>
      </c>
      <c r="T134" s="12">
        <v>7656.4000000000005</v>
      </c>
      <c r="U134" s="12" t="str">
        <v>Earning ₹38k</v>
      </c>
      <c r="V134" s="12">
        <v>1472</v>
      </c>
      <c r="W134" s="12" t="str">
        <v>Review</v>
      </c>
    </row>
    <row r="135" spans="1:23" x14ac:dyDescent="0.3">
      <c r="A135" t="s">
        <v>141</v>
      </c>
      <c r="B135" t="s">
        <v>341</v>
      </c>
      <c r="C135" t="s">
        <v>412</v>
      </c>
      <c r="D135" t="s">
        <v>414</v>
      </c>
      <c r="E135">
        <v>14</v>
      </c>
      <c r="F135" t="s">
        <v>415</v>
      </c>
      <c r="G135">
        <v>90034</v>
      </c>
      <c r="H135" t="s">
        <v>420</v>
      </c>
      <c r="I135" s="12" t="str">
        <v>Not Eligible</v>
      </c>
      <c r="J135" s="12" t="str">
        <v>Senior Permanent</v>
      </c>
      <c r="K135" s="12" t="str">
        <v>General</v>
      </c>
      <c r="L135" s="12" t="str">
        <v>Regular</v>
      </c>
      <c r="M135" s="12" t="str">
        <v>OK</v>
      </c>
      <c r="N135" s="12" t="str">
        <v>Experienced</v>
      </c>
      <c r="O135" s="12" t="str">
        <v>Metro</v>
      </c>
      <c r="P135" s="12" t="str">
        <v>Standard</v>
      </c>
      <c r="Q135" s="12" t="str">
        <v>Mid/Short-Term</v>
      </c>
      <c r="R135" s="12">
        <f t="shared" si="4"/>
        <v>36</v>
      </c>
      <c r="S135" s="12">
        <f t="shared" si="5"/>
        <v>21</v>
      </c>
      <c r="T135" s="12">
        <v>0</v>
      </c>
      <c r="U135" s="12" t="str">
        <v>Earning ₹90k</v>
      </c>
      <c r="V135" s="12">
        <v>6431</v>
      </c>
      <c r="W135" s="12" t="str">
        <v>Promotable</v>
      </c>
    </row>
    <row r="136" spans="1:23" x14ac:dyDescent="0.3">
      <c r="A136" t="s">
        <v>142</v>
      </c>
      <c r="B136" t="s">
        <v>342</v>
      </c>
      <c r="C136" t="s">
        <v>412</v>
      </c>
      <c r="D136" t="s">
        <v>414</v>
      </c>
      <c r="E136">
        <v>2</v>
      </c>
      <c r="F136" t="s">
        <v>415</v>
      </c>
      <c r="G136">
        <v>117529</v>
      </c>
      <c r="H136" t="s">
        <v>421</v>
      </c>
      <c r="I136" s="12" t="str">
        <v>Eligible</v>
      </c>
      <c r="J136" s="12" t="str">
        <v>Other</v>
      </c>
      <c r="K136" s="12" t="str">
        <v>General</v>
      </c>
      <c r="L136" s="12" t="str">
        <v>High Earner</v>
      </c>
      <c r="M136" s="12" t="str">
        <v>OK</v>
      </c>
      <c r="N136" s="12" t="str">
        <v>Experienced</v>
      </c>
      <c r="O136" s="12" t="str">
        <v>Metro</v>
      </c>
      <c r="P136" s="12" t="str">
        <v>Standard</v>
      </c>
      <c r="Q136" s="12" t="str">
        <v>Mid/Short-Term</v>
      </c>
      <c r="R136" s="12">
        <f t="shared" si="4"/>
        <v>36</v>
      </c>
      <c r="S136" s="12">
        <f t="shared" si="5"/>
        <v>20</v>
      </c>
      <c r="T136" s="12">
        <v>23505.800000000003</v>
      </c>
      <c r="U136" s="12" t="str">
        <v>Earning ₹118k</v>
      </c>
      <c r="V136" s="12">
        <v>58765</v>
      </c>
      <c r="W136" s="12" t="str">
        <v>Review</v>
      </c>
    </row>
    <row r="137" spans="1:23" x14ac:dyDescent="0.3">
      <c r="A137" t="s">
        <v>143</v>
      </c>
      <c r="B137" t="s">
        <v>343</v>
      </c>
      <c r="C137" t="s">
        <v>409</v>
      </c>
      <c r="D137" t="s">
        <v>414</v>
      </c>
      <c r="E137">
        <v>11</v>
      </c>
      <c r="F137" t="s">
        <v>419</v>
      </c>
      <c r="G137">
        <v>51182</v>
      </c>
      <c r="H137" t="s">
        <v>421</v>
      </c>
      <c r="I137" s="12" t="str">
        <v>Eligible</v>
      </c>
      <c r="J137" s="12" t="str">
        <v>Senior Permanent</v>
      </c>
      <c r="K137" s="12" t="str">
        <v>General</v>
      </c>
      <c r="L137" s="12" t="str">
        <v>Regular</v>
      </c>
      <c r="M137" s="12" t="str">
        <v>OK</v>
      </c>
      <c r="N137" s="12" t="str">
        <v>Experienced</v>
      </c>
      <c r="O137" s="12" t="str">
        <v>Metro</v>
      </c>
      <c r="P137" s="12" t="str">
        <v>Standard</v>
      </c>
      <c r="Q137" s="12" t="str">
        <v>Mid/Short-Term</v>
      </c>
      <c r="R137" s="12">
        <f t="shared" si="4"/>
        <v>35</v>
      </c>
      <c r="S137" s="12">
        <f t="shared" si="5"/>
        <v>19</v>
      </c>
      <c r="T137" s="12">
        <v>10236.400000000001</v>
      </c>
      <c r="U137" s="12" t="str">
        <v>Earning ₹51k</v>
      </c>
      <c r="V137" s="12">
        <v>4653</v>
      </c>
      <c r="W137" s="12" t="str">
        <v>Review</v>
      </c>
    </row>
    <row r="138" spans="1:23" x14ac:dyDescent="0.3">
      <c r="A138" t="s">
        <v>144</v>
      </c>
      <c r="B138" t="s">
        <v>344</v>
      </c>
      <c r="C138" t="s">
        <v>412</v>
      </c>
      <c r="D138" t="s">
        <v>413</v>
      </c>
      <c r="E138">
        <v>21</v>
      </c>
      <c r="F138" t="s">
        <v>416</v>
      </c>
      <c r="G138">
        <v>125542</v>
      </c>
      <c r="H138" t="s">
        <v>421</v>
      </c>
      <c r="I138" s="12" t="str">
        <v>Eligible</v>
      </c>
      <c r="J138" s="12" t="str">
        <v>Other</v>
      </c>
      <c r="K138" s="12" t="str">
        <v>General</v>
      </c>
      <c r="L138" s="12" t="str">
        <v>High Earner</v>
      </c>
      <c r="M138" s="12" t="str">
        <v>OK</v>
      </c>
      <c r="N138" s="12" t="str">
        <v>Experienced</v>
      </c>
      <c r="O138" s="12" t="str">
        <v>Non-Metro</v>
      </c>
      <c r="P138" s="12" t="str">
        <v>Standard</v>
      </c>
      <c r="Q138" s="12" t="str">
        <v>Long-Term</v>
      </c>
      <c r="R138" s="12">
        <f t="shared" si="4"/>
        <v>34</v>
      </c>
      <c r="S138" s="12">
        <f t="shared" si="5"/>
        <v>19</v>
      </c>
      <c r="T138" s="12">
        <v>25108.400000000001</v>
      </c>
      <c r="U138" s="12" t="str">
        <v>Earning ₹126k</v>
      </c>
      <c r="V138" s="12">
        <v>5978</v>
      </c>
      <c r="W138" s="12" t="str">
        <v>Promotable</v>
      </c>
    </row>
    <row r="139" spans="1:23" x14ac:dyDescent="0.3">
      <c r="A139" t="s">
        <v>145</v>
      </c>
      <c r="B139" t="s">
        <v>345</v>
      </c>
      <c r="C139" t="s">
        <v>409</v>
      </c>
      <c r="D139" t="s">
        <v>414</v>
      </c>
      <c r="E139">
        <v>18</v>
      </c>
      <c r="F139" t="s">
        <v>417</v>
      </c>
      <c r="G139">
        <v>70278</v>
      </c>
      <c r="H139" t="s">
        <v>420</v>
      </c>
      <c r="I139" s="12" t="str">
        <v>Not Eligible</v>
      </c>
      <c r="J139" s="12" t="str">
        <v>Senior Permanent</v>
      </c>
      <c r="K139" s="12" t="str">
        <v>Target Role</v>
      </c>
      <c r="L139" s="12" t="str">
        <v>Regular</v>
      </c>
      <c r="M139" s="12" t="str">
        <v>OK</v>
      </c>
      <c r="N139" s="12" t="str">
        <v>Experienced</v>
      </c>
      <c r="O139" s="12" t="str">
        <v>Metro</v>
      </c>
      <c r="P139" s="12" t="str">
        <v>Standard</v>
      </c>
      <c r="Q139" s="12" t="str">
        <v>Long-Term</v>
      </c>
      <c r="R139" s="12">
        <f t="shared" si="4"/>
        <v>33</v>
      </c>
      <c r="S139" s="12">
        <f t="shared" si="5"/>
        <v>19</v>
      </c>
      <c r="T139" s="12">
        <v>0</v>
      </c>
      <c r="U139" s="12" t="str">
        <v>Earning ₹70k</v>
      </c>
      <c r="V139" s="12">
        <v>3904</v>
      </c>
      <c r="W139" s="12" t="str">
        <v>Review</v>
      </c>
    </row>
    <row r="140" spans="1:23" x14ac:dyDescent="0.3">
      <c r="A140" t="s">
        <v>146</v>
      </c>
      <c r="B140" t="s">
        <v>346</v>
      </c>
      <c r="C140" t="s">
        <v>409</v>
      </c>
      <c r="D140" t="s">
        <v>414</v>
      </c>
      <c r="E140">
        <v>7</v>
      </c>
      <c r="F140" t="s">
        <v>418</v>
      </c>
      <c r="G140">
        <v>54154</v>
      </c>
      <c r="H140" t="s">
        <v>420</v>
      </c>
      <c r="I140" s="12" t="str">
        <v>Not Eligible</v>
      </c>
      <c r="J140" s="12" t="str">
        <v>Senior Permanent</v>
      </c>
      <c r="K140" s="12" t="str">
        <v>General</v>
      </c>
      <c r="L140" s="12" t="str">
        <v>Regular</v>
      </c>
      <c r="M140" s="12" t="str">
        <v>OK</v>
      </c>
      <c r="N140" s="12" t="str">
        <v>Junior</v>
      </c>
      <c r="O140" s="12" t="str">
        <v>Non-Metro</v>
      </c>
      <c r="P140" s="12" t="str">
        <v>Standard</v>
      </c>
      <c r="Q140" s="12" t="str">
        <v>Mid/Short-Term</v>
      </c>
      <c r="R140" s="12">
        <f t="shared" si="4"/>
        <v>33</v>
      </c>
      <c r="S140" s="12">
        <f t="shared" si="5"/>
        <v>19</v>
      </c>
      <c r="T140" s="12">
        <v>0</v>
      </c>
      <c r="U140" s="12" t="str">
        <v>Earning ₹54k</v>
      </c>
      <c r="V140" s="12">
        <v>7736</v>
      </c>
      <c r="W140" s="12" t="str">
        <v>Review</v>
      </c>
    </row>
    <row r="141" spans="1:23" x14ac:dyDescent="0.3">
      <c r="A141" t="s">
        <v>147</v>
      </c>
      <c r="B141" t="s">
        <v>347</v>
      </c>
      <c r="C141" t="s">
        <v>408</v>
      </c>
      <c r="D141" t="s">
        <v>413</v>
      </c>
      <c r="E141">
        <v>10</v>
      </c>
      <c r="F141" t="s">
        <v>418</v>
      </c>
      <c r="G141">
        <v>77259</v>
      </c>
      <c r="H141" t="s">
        <v>420</v>
      </c>
      <c r="I141" s="12" t="str">
        <v>Not Eligible</v>
      </c>
      <c r="J141" s="12" t="str">
        <v>Other</v>
      </c>
      <c r="K141" s="12" t="str">
        <v>Target Role</v>
      </c>
      <c r="L141" s="12" t="str">
        <v>Regular</v>
      </c>
      <c r="M141" s="12" t="str">
        <v>OK</v>
      </c>
      <c r="N141" s="12" t="str">
        <v>Junior</v>
      </c>
      <c r="O141" s="12" t="str">
        <v>Non-Metro</v>
      </c>
      <c r="P141" s="12" t="str">
        <v>Standard</v>
      </c>
      <c r="Q141" s="12" t="str">
        <v>Mid/Short-Term</v>
      </c>
      <c r="R141" s="12">
        <f t="shared" si="4"/>
        <v>33</v>
      </c>
      <c r="S141" s="12">
        <f t="shared" si="5"/>
        <v>19</v>
      </c>
      <c r="T141" s="12">
        <v>0</v>
      </c>
      <c r="U141" s="12" t="str">
        <v>Earning ₹77k</v>
      </c>
      <c r="V141" s="12">
        <v>7726</v>
      </c>
      <c r="W141" s="12" t="str">
        <v>Review</v>
      </c>
    </row>
    <row r="142" spans="1:23" x14ac:dyDescent="0.3">
      <c r="A142" t="s">
        <v>148</v>
      </c>
      <c r="B142" t="s">
        <v>348</v>
      </c>
      <c r="C142" t="s">
        <v>411</v>
      </c>
      <c r="D142" t="s">
        <v>414</v>
      </c>
      <c r="E142">
        <v>5</v>
      </c>
      <c r="F142" t="s">
        <v>416</v>
      </c>
      <c r="G142">
        <v>107803</v>
      </c>
      <c r="H142" t="s">
        <v>421</v>
      </c>
      <c r="I142" s="12" t="str">
        <v>Eligible</v>
      </c>
      <c r="J142" s="12" t="str">
        <v>Other</v>
      </c>
      <c r="K142" s="12" t="str">
        <v>General</v>
      </c>
      <c r="L142" s="12" t="str">
        <v>High Earner</v>
      </c>
      <c r="M142" s="12" t="str">
        <v>OK</v>
      </c>
      <c r="N142" s="12" t="str">
        <v>Experienced</v>
      </c>
      <c r="O142" s="12" t="str">
        <v>Non-Metro</v>
      </c>
      <c r="P142" s="12" t="str">
        <v>Standard</v>
      </c>
      <c r="Q142" s="12" t="str">
        <v>Mid/Short-Term</v>
      </c>
      <c r="R142" s="12">
        <f t="shared" si="4"/>
        <v>33</v>
      </c>
      <c r="S142" s="12">
        <f t="shared" si="5"/>
        <v>19</v>
      </c>
      <c r="T142" s="12">
        <v>21560.600000000002</v>
      </c>
      <c r="U142" s="12" t="str">
        <v>Earning ₹108k</v>
      </c>
      <c r="V142" s="12">
        <v>21561</v>
      </c>
      <c r="W142" s="12" t="str">
        <v>Review</v>
      </c>
    </row>
    <row r="143" spans="1:23" x14ac:dyDescent="0.3">
      <c r="A143" t="s">
        <v>149</v>
      </c>
      <c r="B143" t="s">
        <v>349</v>
      </c>
      <c r="C143" t="s">
        <v>409</v>
      </c>
      <c r="D143" t="s">
        <v>413</v>
      </c>
      <c r="E143">
        <v>16</v>
      </c>
      <c r="F143" t="s">
        <v>417</v>
      </c>
      <c r="G143">
        <v>41528</v>
      </c>
      <c r="H143" t="s">
        <v>421</v>
      </c>
      <c r="I143" s="12" t="str">
        <v>Eligible</v>
      </c>
      <c r="J143" s="12" t="str">
        <v>Other</v>
      </c>
      <c r="K143" s="12" t="str">
        <v>Target Role</v>
      </c>
      <c r="L143" s="12" t="str">
        <v>Regular</v>
      </c>
      <c r="M143" s="12" t="str">
        <v>OK</v>
      </c>
      <c r="N143" s="12" t="str">
        <v>Experienced</v>
      </c>
      <c r="O143" s="12" t="str">
        <v>Metro</v>
      </c>
      <c r="P143" s="12" t="str">
        <v>Standard</v>
      </c>
      <c r="Q143" s="12" t="str">
        <v>Long-Term</v>
      </c>
      <c r="R143" s="12">
        <f t="shared" si="4"/>
        <v>32</v>
      </c>
      <c r="S143" s="12">
        <f t="shared" si="5"/>
        <v>18</v>
      </c>
      <c r="T143" s="12">
        <v>8305.6</v>
      </c>
      <c r="U143" s="12" t="str">
        <v>Earning ₹42k</v>
      </c>
      <c r="V143" s="12">
        <v>2596</v>
      </c>
      <c r="W143" s="12" t="str">
        <v>Review</v>
      </c>
    </row>
    <row r="144" spans="1:23" x14ac:dyDescent="0.3">
      <c r="A144" t="s">
        <v>150</v>
      </c>
      <c r="B144" t="s">
        <v>350</v>
      </c>
      <c r="C144" t="s">
        <v>408</v>
      </c>
      <c r="D144" t="s">
        <v>413</v>
      </c>
      <c r="E144">
        <v>30</v>
      </c>
      <c r="F144" t="s">
        <v>418</v>
      </c>
      <c r="G144">
        <v>80079</v>
      </c>
      <c r="H144" t="s">
        <v>421</v>
      </c>
      <c r="I144" s="12" t="str">
        <v>Eligible</v>
      </c>
      <c r="J144" s="12" t="str">
        <v>Other</v>
      </c>
      <c r="K144" s="12" t="str">
        <v>Target Role</v>
      </c>
      <c r="L144" s="12" t="str">
        <v>Regular</v>
      </c>
      <c r="M144" s="12" t="str">
        <v>OK</v>
      </c>
      <c r="N144" s="12" t="str">
        <v>Experienced</v>
      </c>
      <c r="O144" s="12" t="str">
        <v>Non-Metro</v>
      </c>
      <c r="P144" s="12" t="str">
        <v>Standard</v>
      </c>
      <c r="Q144" s="12" t="str">
        <v>Long-Term</v>
      </c>
      <c r="R144" s="12">
        <f t="shared" si="4"/>
        <v>31</v>
      </c>
      <c r="S144" s="12">
        <f t="shared" si="5"/>
        <v>18</v>
      </c>
      <c r="T144" s="12">
        <v>16015.800000000001</v>
      </c>
      <c r="U144" s="12" t="str">
        <v>Earning ₹80k</v>
      </c>
      <c r="V144" s="12">
        <v>2669</v>
      </c>
      <c r="W144" s="12" t="str">
        <v>Review</v>
      </c>
    </row>
    <row r="145" spans="1:23" x14ac:dyDescent="0.3">
      <c r="A145" t="s">
        <v>151</v>
      </c>
      <c r="B145" t="s">
        <v>351</v>
      </c>
      <c r="C145" t="s">
        <v>408</v>
      </c>
      <c r="D145" t="s">
        <v>414</v>
      </c>
      <c r="E145">
        <v>27</v>
      </c>
      <c r="F145" t="s">
        <v>417</v>
      </c>
      <c r="G145">
        <v>111975</v>
      </c>
      <c r="H145" t="s">
        <v>421</v>
      </c>
      <c r="I145" s="12" t="str">
        <v>Eligible</v>
      </c>
      <c r="J145" s="12" t="str">
        <v>Senior Permanent</v>
      </c>
      <c r="K145" s="12" t="str">
        <v>Target Role</v>
      </c>
      <c r="L145" s="12" t="str">
        <v>High Earner</v>
      </c>
      <c r="M145" s="12" t="str">
        <v>OK</v>
      </c>
      <c r="N145" s="12" t="str">
        <v>Experienced</v>
      </c>
      <c r="O145" s="12" t="str">
        <v>Metro</v>
      </c>
      <c r="P145" s="12" t="str">
        <v>Standard</v>
      </c>
      <c r="Q145" s="12" t="str">
        <v>Long-Term</v>
      </c>
      <c r="R145" s="12">
        <f t="shared" si="4"/>
        <v>30</v>
      </c>
      <c r="S145" s="12">
        <f t="shared" si="5"/>
        <v>18</v>
      </c>
      <c r="T145" s="12">
        <v>22395</v>
      </c>
      <c r="U145" s="12" t="str">
        <v>Earning ₹112k</v>
      </c>
      <c r="V145" s="12">
        <v>4147</v>
      </c>
      <c r="W145" s="12" t="str">
        <v>Promotable</v>
      </c>
    </row>
    <row r="146" spans="1:23" x14ac:dyDescent="0.3">
      <c r="A146" t="s">
        <v>152</v>
      </c>
      <c r="B146" t="s">
        <v>352</v>
      </c>
      <c r="C146" t="s">
        <v>411</v>
      </c>
      <c r="D146" t="s">
        <v>413</v>
      </c>
      <c r="E146">
        <v>6</v>
      </c>
      <c r="F146" t="s">
        <v>418</v>
      </c>
      <c r="G146">
        <v>87317</v>
      </c>
      <c r="H146" t="s">
        <v>420</v>
      </c>
      <c r="I146" s="12" t="str">
        <v>Not Eligible</v>
      </c>
      <c r="J146" s="12" t="str">
        <v>Other</v>
      </c>
      <c r="K146" s="12" t="str">
        <v>General</v>
      </c>
      <c r="L146" s="12" t="str">
        <v>Regular</v>
      </c>
      <c r="M146" s="12" t="str">
        <v>OK</v>
      </c>
      <c r="N146" s="12" t="str">
        <v>Junior</v>
      </c>
      <c r="O146" s="12" t="str">
        <v>Non-Metro</v>
      </c>
      <c r="P146" s="12" t="str">
        <v>Standard</v>
      </c>
      <c r="Q146" s="12" t="str">
        <v>Mid/Short-Term</v>
      </c>
      <c r="R146" s="12">
        <f t="shared" si="4"/>
        <v>29</v>
      </c>
      <c r="S146" s="12">
        <f t="shared" si="5"/>
        <v>17</v>
      </c>
      <c r="T146" s="12">
        <v>0</v>
      </c>
      <c r="U146" s="12" t="str">
        <v>Earning ₹87k</v>
      </c>
      <c r="V146" s="12">
        <v>14553</v>
      </c>
      <c r="W146" s="12" t="str">
        <v>Review</v>
      </c>
    </row>
    <row r="147" spans="1:23" x14ac:dyDescent="0.3">
      <c r="A147" t="s">
        <v>153</v>
      </c>
      <c r="B147" t="s">
        <v>353</v>
      </c>
      <c r="C147" t="s">
        <v>411</v>
      </c>
      <c r="D147" t="s">
        <v>413</v>
      </c>
      <c r="E147">
        <v>15</v>
      </c>
      <c r="F147" t="s">
        <v>417</v>
      </c>
      <c r="G147">
        <v>128604</v>
      </c>
      <c r="H147" t="s">
        <v>420</v>
      </c>
      <c r="I147" s="12" t="str">
        <v>Not Eligible</v>
      </c>
      <c r="J147" s="12" t="str">
        <v>Other</v>
      </c>
      <c r="K147" s="12" t="str">
        <v>Target Role</v>
      </c>
      <c r="L147" s="12" t="str">
        <v>High Earner</v>
      </c>
      <c r="M147" s="12" t="str">
        <v>OK</v>
      </c>
      <c r="N147" s="12" t="str">
        <v>Experienced</v>
      </c>
      <c r="O147" s="12" t="str">
        <v>Metro</v>
      </c>
      <c r="P147" s="12" t="str">
        <v>Standard</v>
      </c>
      <c r="Q147" s="12" t="str">
        <v>Mid/Short-Term</v>
      </c>
      <c r="R147" s="12">
        <f t="shared" si="4"/>
        <v>29</v>
      </c>
      <c r="S147" s="12">
        <f t="shared" si="5"/>
        <v>17</v>
      </c>
      <c r="T147" s="12">
        <v>0</v>
      </c>
      <c r="U147" s="12" t="str">
        <v>Earning ₹129k</v>
      </c>
      <c r="V147" s="12">
        <v>8574</v>
      </c>
      <c r="W147" s="12" t="str">
        <v>Promotable</v>
      </c>
    </row>
    <row r="148" spans="1:23" x14ac:dyDescent="0.3">
      <c r="A148" t="s">
        <v>154</v>
      </c>
      <c r="B148" t="s">
        <v>354</v>
      </c>
      <c r="C148" t="s">
        <v>410</v>
      </c>
      <c r="D148" t="s">
        <v>414</v>
      </c>
      <c r="E148">
        <v>4</v>
      </c>
      <c r="F148" t="s">
        <v>417</v>
      </c>
      <c r="G148">
        <v>70734</v>
      </c>
      <c r="H148" t="s">
        <v>420</v>
      </c>
      <c r="I148" s="12" t="str">
        <v>Not Eligible</v>
      </c>
      <c r="J148" s="12" t="str">
        <v>Other</v>
      </c>
      <c r="K148" s="12" t="str">
        <v>Target Role</v>
      </c>
      <c r="L148" s="12" t="str">
        <v>Regular</v>
      </c>
      <c r="M148" s="12" t="str">
        <v>OK</v>
      </c>
      <c r="N148" s="12" t="str">
        <v>Junior</v>
      </c>
      <c r="O148" s="12" t="str">
        <v>Metro</v>
      </c>
      <c r="P148" s="12" t="str">
        <v>Standard</v>
      </c>
      <c r="Q148" s="12" t="str">
        <v>Mid/Short-Term</v>
      </c>
      <c r="R148" s="12">
        <f t="shared" si="4"/>
        <v>29</v>
      </c>
      <c r="S148" s="12">
        <f t="shared" si="5"/>
        <v>17</v>
      </c>
      <c r="T148" s="12">
        <v>0</v>
      </c>
      <c r="U148" s="12" t="str">
        <v>Earning ₹71k</v>
      </c>
      <c r="V148" s="12">
        <v>17684</v>
      </c>
      <c r="W148" s="12" t="str">
        <v>Review</v>
      </c>
    </row>
    <row r="149" spans="1:23" x14ac:dyDescent="0.3">
      <c r="A149" t="s">
        <v>155</v>
      </c>
      <c r="B149" t="s">
        <v>355</v>
      </c>
      <c r="C149" t="s">
        <v>408</v>
      </c>
      <c r="D149" t="s">
        <v>414</v>
      </c>
      <c r="E149">
        <v>24</v>
      </c>
      <c r="F149" t="s">
        <v>417</v>
      </c>
      <c r="G149">
        <v>129558</v>
      </c>
      <c r="H149" t="s">
        <v>421</v>
      </c>
      <c r="I149" s="12" t="str">
        <v>Eligible</v>
      </c>
      <c r="J149" s="12" t="str">
        <v>Senior Permanent</v>
      </c>
      <c r="K149" s="12" t="str">
        <v>Target Role</v>
      </c>
      <c r="L149" s="12" t="str">
        <v>High Earner</v>
      </c>
      <c r="M149" s="12" t="str">
        <v>OK</v>
      </c>
      <c r="N149" s="12" t="str">
        <v>Experienced</v>
      </c>
      <c r="O149" s="12" t="str">
        <v>Metro</v>
      </c>
      <c r="P149" s="12" t="str">
        <v>Standard</v>
      </c>
      <c r="Q149" s="12" t="str">
        <v>Long-Term</v>
      </c>
      <c r="R149" s="12">
        <f t="shared" si="4"/>
        <v>29</v>
      </c>
      <c r="S149" s="12">
        <f t="shared" si="5"/>
        <v>17</v>
      </c>
      <c r="T149" s="12">
        <v>25911.600000000002</v>
      </c>
      <c r="U149" s="12" t="str">
        <v>Earning ₹130k</v>
      </c>
      <c r="V149" s="12">
        <v>5398</v>
      </c>
      <c r="W149" s="12" t="str">
        <v>Promotable</v>
      </c>
    </row>
    <row r="150" spans="1:23" x14ac:dyDescent="0.3">
      <c r="A150" t="s">
        <v>156</v>
      </c>
      <c r="B150" t="s">
        <v>356</v>
      </c>
      <c r="C150" t="s">
        <v>409</v>
      </c>
      <c r="D150" t="s">
        <v>413</v>
      </c>
      <c r="E150">
        <v>19</v>
      </c>
      <c r="F150" t="s">
        <v>415</v>
      </c>
      <c r="G150">
        <v>45116</v>
      </c>
      <c r="H150" t="s">
        <v>421</v>
      </c>
      <c r="I150" s="12" t="str">
        <v>Eligible</v>
      </c>
      <c r="J150" s="12" t="str">
        <v>Other</v>
      </c>
      <c r="K150" s="12" t="str">
        <v>General</v>
      </c>
      <c r="L150" s="12" t="str">
        <v>Regular</v>
      </c>
      <c r="M150" s="12" t="str">
        <v>OK</v>
      </c>
      <c r="N150" s="12" t="str">
        <v>Experienced</v>
      </c>
      <c r="O150" s="12" t="str">
        <v>Metro</v>
      </c>
      <c r="P150" s="12" t="str">
        <v>Standard</v>
      </c>
      <c r="Q150" s="12" t="str">
        <v>Long-Term</v>
      </c>
      <c r="R150" s="12">
        <f t="shared" si="4"/>
        <v>28</v>
      </c>
      <c r="S150" s="12">
        <f t="shared" si="5"/>
        <v>16</v>
      </c>
      <c r="T150" s="12">
        <v>9023.2000000000007</v>
      </c>
      <c r="U150" s="12" t="str">
        <v>Earning ₹45k</v>
      </c>
      <c r="V150" s="12">
        <v>2375</v>
      </c>
      <c r="W150" s="12" t="str">
        <v>Review</v>
      </c>
    </row>
    <row r="151" spans="1:23" x14ac:dyDescent="0.3">
      <c r="A151" t="s">
        <v>157</v>
      </c>
      <c r="B151" t="s">
        <v>357</v>
      </c>
      <c r="C151" t="s">
        <v>412</v>
      </c>
      <c r="D151" t="s">
        <v>413</v>
      </c>
      <c r="E151">
        <v>30</v>
      </c>
      <c r="F151" t="s">
        <v>419</v>
      </c>
      <c r="G151">
        <v>83596</v>
      </c>
      <c r="H151" t="s">
        <v>421</v>
      </c>
      <c r="I151" s="12" t="str">
        <v>Eligible</v>
      </c>
      <c r="J151" s="12" t="str">
        <v>Other</v>
      </c>
      <c r="K151" s="12" t="str">
        <v>General</v>
      </c>
      <c r="L151" s="12" t="str">
        <v>Regular</v>
      </c>
      <c r="M151" s="12" t="str">
        <v>OK</v>
      </c>
      <c r="N151" s="12" t="str">
        <v>Experienced</v>
      </c>
      <c r="O151" s="12" t="str">
        <v>Metro</v>
      </c>
      <c r="P151" s="12" t="str">
        <v>Standard</v>
      </c>
      <c r="Q151" s="12" t="str">
        <v>Long-Term</v>
      </c>
      <c r="R151" s="12">
        <f t="shared" si="4"/>
        <v>27</v>
      </c>
      <c r="S151" s="12">
        <f t="shared" si="5"/>
        <v>16</v>
      </c>
      <c r="T151" s="12">
        <v>16719.2</v>
      </c>
      <c r="U151" s="12" t="str">
        <v>Earning ₹84k</v>
      </c>
      <c r="V151" s="12">
        <v>2787</v>
      </c>
      <c r="W151" s="12" t="str">
        <v>Review</v>
      </c>
    </row>
    <row r="152" spans="1:23" x14ac:dyDescent="0.3">
      <c r="A152" t="s">
        <v>158</v>
      </c>
      <c r="B152" t="s">
        <v>358</v>
      </c>
      <c r="C152" t="s">
        <v>411</v>
      </c>
      <c r="D152" t="s">
        <v>413</v>
      </c>
      <c r="E152">
        <v>7</v>
      </c>
      <c r="F152" t="s">
        <v>419</v>
      </c>
      <c r="G152">
        <v>33114</v>
      </c>
      <c r="H152" t="s">
        <v>421</v>
      </c>
      <c r="I152" s="12" t="str">
        <v>Eligible</v>
      </c>
      <c r="J152" s="12" t="str">
        <v>Other</v>
      </c>
      <c r="K152" s="12" t="str">
        <v>General</v>
      </c>
      <c r="L152" s="12" t="str">
        <v>Regular</v>
      </c>
      <c r="M152" s="12" t="str">
        <v>OK</v>
      </c>
      <c r="N152" s="12" t="str">
        <v>Junior</v>
      </c>
      <c r="O152" s="12" t="str">
        <v>Metro</v>
      </c>
      <c r="P152" s="12" t="str">
        <v>Low-Pay Contract</v>
      </c>
      <c r="Q152" s="12" t="str">
        <v>Mid/Short-Term</v>
      </c>
      <c r="R152" s="12">
        <f t="shared" si="4"/>
        <v>26</v>
      </c>
      <c r="S152" s="12">
        <f t="shared" si="5"/>
        <v>16</v>
      </c>
      <c r="T152" s="12">
        <v>6622.8</v>
      </c>
      <c r="U152" s="12" t="str">
        <v>Earning ₹33k</v>
      </c>
      <c r="V152" s="12">
        <v>4731</v>
      </c>
      <c r="W152" s="12" t="str">
        <v>Review</v>
      </c>
    </row>
    <row r="153" spans="1:23" x14ac:dyDescent="0.3">
      <c r="A153" t="s">
        <v>159</v>
      </c>
      <c r="B153" t="s">
        <v>359</v>
      </c>
      <c r="C153" t="s">
        <v>409</v>
      </c>
      <c r="D153" t="s">
        <v>413</v>
      </c>
      <c r="E153">
        <v>2</v>
      </c>
      <c r="F153" t="s">
        <v>416</v>
      </c>
      <c r="G153">
        <v>45709</v>
      </c>
      <c r="H153" t="s">
        <v>420</v>
      </c>
      <c r="I153" s="12" t="str">
        <v>Not Eligible</v>
      </c>
      <c r="J153" s="12" t="str">
        <v>Other</v>
      </c>
      <c r="K153" s="12" t="str">
        <v>General</v>
      </c>
      <c r="L153" s="12" t="str">
        <v>Regular</v>
      </c>
      <c r="M153" s="12" t="str">
        <v>OK</v>
      </c>
      <c r="N153" s="12" t="str">
        <v>Junior</v>
      </c>
      <c r="O153" s="12" t="str">
        <v>Non-Metro</v>
      </c>
      <c r="P153" s="12" t="str">
        <v>Standard</v>
      </c>
      <c r="Q153" s="12" t="str">
        <v>Mid/Short-Term</v>
      </c>
      <c r="R153" s="12">
        <f t="shared" si="4"/>
        <v>25</v>
      </c>
      <c r="S153" s="12">
        <f t="shared" si="5"/>
        <v>16</v>
      </c>
      <c r="T153" s="12">
        <v>0</v>
      </c>
      <c r="U153" s="12" t="str">
        <v>Earning ₹46k</v>
      </c>
      <c r="V153" s="12">
        <v>22855</v>
      </c>
      <c r="W153" s="12" t="str">
        <v>Review</v>
      </c>
    </row>
    <row r="154" spans="1:23" x14ac:dyDescent="0.3">
      <c r="A154" t="s">
        <v>160</v>
      </c>
      <c r="B154" t="s">
        <v>360</v>
      </c>
      <c r="C154" t="s">
        <v>411</v>
      </c>
      <c r="D154" t="s">
        <v>414</v>
      </c>
      <c r="E154">
        <v>11</v>
      </c>
      <c r="F154" t="s">
        <v>418</v>
      </c>
      <c r="G154">
        <v>86470</v>
      </c>
      <c r="H154" t="s">
        <v>420</v>
      </c>
      <c r="I154" s="12" t="str">
        <v>Not Eligible</v>
      </c>
      <c r="J154" s="12" t="str">
        <v>Senior Permanent</v>
      </c>
      <c r="K154" s="12" t="str">
        <v>General</v>
      </c>
      <c r="L154" s="12" t="str">
        <v>Regular</v>
      </c>
      <c r="M154" s="12" t="str">
        <v>OK</v>
      </c>
      <c r="N154" s="12" t="str">
        <v>Experienced</v>
      </c>
      <c r="O154" s="12" t="str">
        <v>Non-Metro</v>
      </c>
      <c r="P154" s="12" t="str">
        <v>Standard</v>
      </c>
      <c r="Q154" s="12" t="str">
        <v>Mid/Short-Term</v>
      </c>
      <c r="R154" s="12">
        <f t="shared" si="4"/>
        <v>25</v>
      </c>
      <c r="S154" s="12">
        <f t="shared" si="5"/>
        <v>16</v>
      </c>
      <c r="T154" s="12">
        <v>0</v>
      </c>
      <c r="U154" s="12" t="str">
        <v>Earning ₹86k</v>
      </c>
      <c r="V154" s="12">
        <v>7861</v>
      </c>
      <c r="W154" s="12" t="str">
        <v>Review</v>
      </c>
    </row>
    <row r="155" spans="1:23" x14ac:dyDescent="0.3">
      <c r="A155" t="s">
        <v>161</v>
      </c>
      <c r="B155" t="s">
        <v>361</v>
      </c>
      <c r="C155" t="s">
        <v>409</v>
      </c>
      <c r="D155" t="s">
        <v>414</v>
      </c>
      <c r="E155">
        <v>18</v>
      </c>
      <c r="F155" t="s">
        <v>415</v>
      </c>
      <c r="G155">
        <v>86196</v>
      </c>
      <c r="H155" t="s">
        <v>420</v>
      </c>
      <c r="I155" s="12" t="str">
        <v>Not Eligible</v>
      </c>
      <c r="J155" s="12" t="str">
        <v>Senior Permanent</v>
      </c>
      <c r="K155" s="12" t="str">
        <v>General</v>
      </c>
      <c r="L155" s="12" t="str">
        <v>Regular</v>
      </c>
      <c r="M155" s="12" t="str">
        <v>OK</v>
      </c>
      <c r="N155" s="12" t="str">
        <v>Experienced</v>
      </c>
      <c r="O155" s="12" t="str">
        <v>Metro</v>
      </c>
      <c r="P155" s="12" t="str">
        <v>Standard</v>
      </c>
      <c r="Q155" s="12" t="str">
        <v>Long-Term</v>
      </c>
      <c r="R155" s="12">
        <f t="shared" si="4"/>
        <v>25</v>
      </c>
      <c r="S155" s="12">
        <f t="shared" si="5"/>
        <v>15</v>
      </c>
      <c r="T155" s="12">
        <v>0</v>
      </c>
      <c r="U155" s="12" t="str">
        <v>Earning ₹86k</v>
      </c>
      <c r="V155" s="12">
        <v>4789</v>
      </c>
      <c r="W155" s="12" t="str">
        <v>Review</v>
      </c>
    </row>
    <row r="156" spans="1:23" x14ac:dyDescent="0.3">
      <c r="A156" t="s">
        <v>162</v>
      </c>
      <c r="B156" t="s">
        <v>362</v>
      </c>
      <c r="C156" t="s">
        <v>409</v>
      </c>
      <c r="D156" t="s">
        <v>414</v>
      </c>
      <c r="E156">
        <v>17</v>
      </c>
      <c r="F156" t="s">
        <v>417</v>
      </c>
      <c r="G156">
        <v>123452</v>
      </c>
      <c r="H156" t="s">
        <v>421</v>
      </c>
      <c r="I156" s="12" t="str">
        <v>Eligible</v>
      </c>
      <c r="J156" s="12" t="str">
        <v>Senior Permanent</v>
      </c>
      <c r="K156" s="12" t="str">
        <v>Target Role</v>
      </c>
      <c r="L156" s="12" t="str">
        <v>High Earner</v>
      </c>
      <c r="M156" s="12" t="str">
        <v>OK</v>
      </c>
      <c r="N156" s="12" t="str">
        <v>Experienced</v>
      </c>
      <c r="O156" s="12" t="str">
        <v>Metro</v>
      </c>
      <c r="P156" s="12" t="str">
        <v>Standard</v>
      </c>
      <c r="Q156" s="12" t="str">
        <v>Long-Term</v>
      </c>
      <c r="R156" s="12">
        <f t="shared" si="4"/>
        <v>25</v>
      </c>
      <c r="S156" s="12">
        <f t="shared" si="5"/>
        <v>14</v>
      </c>
      <c r="T156" s="12">
        <v>24690.400000000001</v>
      </c>
      <c r="U156" s="12" t="str">
        <v>Earning ₹123k</v>
      </c>
      <c r="V156" s="12">
        <v>7262</v>
      </c>
      <c r="W156" s="12" t="str">
        <v>Promotable</v>
      </c>
    </row>
    <row r="157" spans="1:23" x14ac:dyDescent="0.3">
      <c r="A157" t="s">
        <v>163</v>
      </c>
      <c r="B157" t="s">
        <v>363</v>
      </c>
      <c r="C157" t="s">
        <v>411</v>
      </c>
      <c r="D157" t="s">
        <v>414</v>
      </c>
      <c r="E157">
        <v>8</v>
      </c>
      <c r="F157" t="s">
        <v>416</v>
      </c>
      <c r="G157">
        <v>119276</v>
      </c>
      <c r="H157" t="s">
        <v>420</v>
      </c>
      <c r="I157" s="12" t="str">
        <v>Not Eligible</v>
      </c>
      <c r="J157" s="12" t="str">
        <v>Senior Permanent</v>
      </c>
      <c r="K157" s="12" t="str">
        <v>General</v>
      </c>
      <c r="L157" s="12" t="str">
        <v>High Earner</v>
      </c>
      <c r="M157" s="12" t="str">
        <v>OK</v>
      </c>
      <c r="N157" s="12" t="str">
        <v>Experienced</v>
      </c>
      <c r="O157" s="12" t="str">
        <v>Non-Metro</v>
      </c>
      <c r="P157" s="12" t="str">
        <v>Standard</v>
      </c>
      <c r="Q157" s="12" t="str">
        <v>Mid/Short-Term</v>
      </c>
      <c r="R157" s="12">
        <f t="shared" si="4"/>
        <v>24</v>
      </c>
      <c r="S157" s="12">
        <f t="shared" si="5"/>
        <v>13</v>
      </c>
      <c r="T157" s="12">
        <v>0</v>
      </c>
      <c r="U157" s="12" t="str">
        <v>Earning ₹119k</v>
      </c>
      <c r="V157" s="12">
        <v>14910</v>
      </c>
      <c r="W157" s="12" t="str">
        <v>Review</v>
      </c>
    </row>
    <row r="158" spans="1:23" x14ac:dyDescent="0.3">
      <c r="A158" t="s">
        <v>164</v>
      </c>
      <c r="B158" t="s">
        <v>364</v>
      </c>
      <c r="C158" t="s">
        <v>409</v>
      </c>
      <c r="D158" t="s">
        <v>413</v>
      </c>
      <c r="E158">
        <v>6</v>
      </c>
      <c r="F158" t="s">
        <v>415</v>
      </c>
      <c r="G158">
        <v>92767</v>
      </c>
      <c r="H158" t="s">
        <v>421</v>
      </c>
      <c r="I158" s="12" t="str">
        <v>Eligible</v>
      </c>
      <c r="J158" s="12" t="str">
        <v>Other</v>
      </c>
      <c r="K158" s="12" t="str">
        <v>General</v>
      </c>
      <c r="L158" s="12" t="str">
        <v>Regular</v>
      </c>
      <c r="M158" s="12" t="str">
        <v>OK</v>
      </c>
      <c r="N158" s="12" t="str">
        <v>Experienced</v>
      </c>
      <c r="O158" s="12" t="str">
        <v>Metro</v>
      </c>
      <c r="P158" s="12" t="str">
        <v>Standard</v>
      </c>
      <c r="Q158" s="12" t="str">
        <v>Mid/Short-Term</v>
      </c>
      <c r="R158" s="12">
        <f t="shared" si="4"/>
        <v>24</v>
      </c>
      <c r="S158" s="12">
        <f t="shared" si="5"/>
        <v>12</v>
      </c>
      <c r="T158" s="12">
        <v>18553.400000000001</v>
      </c>
      <c r="U158" s="12" t="str">
        <v>Earning ₹93k</v>
      </c>
      <c r="V158" s="12">
        <v>15461</v>
      </c>
      <c r="W158" s="12" t="str">
        <v>Review</v>
      </c>
    </row>
    <row r="159" spans="1:23" x14ac:dyDescent="0.3">
      <c r="A159" t="s">
        <v>165</v>
      </c>
      <c r="B159" t="s">
        <v>365</v>
      </c>
      <c r="C159" t="s">
        <v>408</v>
      </c>
      <c r="D159" t="s">
        <v>413</v>
      </c>
      <c r="E159">
        <v>17</v>
      </c>
      <c r="F159" t="s">
        <v>418</v>
      </c>
      <c r="G159">
        <v>122212</v>
      </c>
      <c r="H159" t="s">
        <v>421</v>
      </c>
      <c r="I159" s="12" t="str">
        <v>Eligible</v>
      </c>
      <c r="J159" s="12" t="str">
        <v>Other</v>
      </c>
      <c r="K159" s="12" t="str">
        <v>Target Role</v>
      </c>
      <c r="L159" s="12" t="str">
        <v>High Earner</v>
      </c>
      <c r="M159" s="12" t="str">
        <v>OK</v>
      </c>
      <c r="N159" s="12" t="str">
        <v>Experienced</v>
      </c>
      <c r="O159" s="12" t="str">
        <v>Non-Metro</v>
      </c>
      <c r="P159" s="12" t="str">
        <v>Standard</v>
      </c>
      <c r="Q159" s="12" t="str">
        <v>Long-Term</v>
      </c>
      <c r="R159" s="12">
        <f t="shared" si="4"/>
        <v>23</v>
      </c>
      <c r="S159" s="12">
        <f t="shared" si="5"/>
        <v>12</v>
      </c>
      <c r="T159" s="12">
        <v>24442.400000000001</v>
      </c>
      <c r="U159" s="12" t="str">
        <v>Earning ₹122k</v>
      </c>
      <c r="V159" s="12">
        <v>7189</v>
      </c>
      <c r="W159" s="12" t="str">
        <v>Promotable</v>
      </c>
    </row>
    <row r="160" spans="1:23" x14ac:dyDescent="0.3">
      <c r="A160" t="s">
        <v>166</v>
      </c>
      <c r="B160" t="s">
        <v>366</v>
      </c>
      <c r="C160" t="s">
        <v>408</v>
      </c>
      <c r="D160" t="s">
        <v>414</v>
      </c>
      <c r="E160">
        <v>19</v>
      </c>
      <c r="F160" t="s">
        <v>416</v>
      </c>
      <c r="G160">
        <v>67118</v>
      </c>
      <c r="H160" t="s">
        <v>420</v>
      </c>
      <c r="I160" s="12" t="str">
        <v>Not Eligible</v>
      </c>
      <c r="J160" s="12" t="str">
        <v>Senior Permanent</v>
      </c>
      <c r="K160" s="12" t="str">
        <v>Target Role</v>
      </c>
      <c r="L160" s="12" t="str">
        <v>Regular</v>
      </c>
      <c r="M160" s="12" t="str">
        <v>OK</v>
      </c>
      <c r="N160" s="12" t="str">
        <v>Experienced</v>
      </c>
      <c r="O160" s="12" t="str">
        <v>Non-Metro</v>
      </c>
      <c r="P160" s="12" t="str">
        <v>Standard</v>
      </c>
      <c r="Q160" s="12" t="str">
        <v>Long-Term</v>
      </c>
      <c r="R160" s="12">
        <f t="shared" si="4"/>
        <v>22</v>
      </c>
      <c r="S160" s="12">
        <f t="shared" si="5"/>
        <v>12</v>
      </c>
      <c r="T160" s="12">
        <v>0</v>
      </c>
      <c r="U160" s="12" t="str">
        <v>Earning ₹67k</v>
      </c>
      <c r="V160" s="12">
        <v>3533</v>
      </c>
      <c r="W160" s="12" t="str">
        <v>Review</v>
      </c>
    </row>
    <row r="161" spans="1:23" x14ac:dyDescent="0.3">
      <c r="A161" t="s">
        <v>167</v>
      </c>
      <c r="B161" t="s">
        <v>367</v>
      </c>
      <c r="C161" t="s">
        <v>408</v>
      </c>
      <c r="D161" t="s">
        <v>414</v>
      </c>
      <c r="E161">
        <v>16</v>
      </c>
      <c r="F161" t="s">
        <v>417</v>
      </c>
      <c r="G161">
        <v>144771</v>
      </c>
      <c r="H161" t="s">
        <v>421</v>
      </c>
      <c r="I161" s="12" t="str">
        <v>Eligible</v>
      </c>
      <c r="J161" s="12" t="str">
        <v>Senior Permanent</v>
      </c>
      <c r="K161" s="12" t="str">
        <v>Target Role</v>
      </c>
      <c r="L161" s="12" t="str">
        <v>High Earner</v>
      </c>
      <c r="M161" s="12" t="str">
        <v>OK</v>
      </c>
      <c r="N161" s="12" t="str">
        <v>Experienced</v>
      </c>
      <c r="O161" s="12" t="str">
        <v>Metro</v>
      </c>
      <c r="P161" s="12" t="str">
        <v>Standard</v>
      </c>
      <c r="Q161" s="12" t="str">
        <v>Long-Term</v>
      </c>
      <c r="R161" s="12">
        <f t="shared" si="4"/>
        <v>22</v>
      </c>
      <c r="S161" s="12">
        <f t="shared" si="5"/>
        <v>12</v>
      </c>
      <c r="T161" s="12">
        <v>28954.2</v>
      </c>
      <c r="U161" s="12" t="str">
        <v>Earning ₹145k</v>
      </c>
      <c r="V161" s="12">
        <v>9048</v>
      </c>
      <c r="W161" s="12" t="str">
        <v>Promotable</v>
      </c>
    </row>
    <row r="162" spans="1:23" x14ac:dyDescent="0.3">
      <c r="A162" t="s">
        <v>168</v>
      </c>
      <c r="B162" t="s">
        <v>368</v>
      </c>
      <c r="C162" t="s">
        <v>410</v>
      </c>
      <c r="D162" t="s">
        <v>413</v>
      </c>
      <c r="E162">
        <v>7</v>
      </c>
      <c r="F162" t="s">
        <v>417</v>
      </c>
      <c r="G162">
        <v>56069</v>
      </c>
      <c r="H162" t="s">
        <v>420</v>
      </c>
      <c r="I162" s="12" t="str">
        <v>Not Eligible</v>
      </c>
      <c r="J162" s="12" t="str">
        <v>Other</v>
      </c>
      <c r="K162" s="12" t="str">
        <v>Target Role</v>
      </c>
      <c r="L162" s="12" t="str">
        <v>Regular</v>
      </c>
      <c r="M162" s="12" t="str">
        <v>OK</v>
      </c>
      <c r="N162" s="12" t="str">
        <v>Junior</v>
      </c>
      <c r="O162" s="12" t="str">
        <v>Metro</v>
      </c>
      <c r="P162" s="12" t="str">
        <v>Standard</v>
      </c>
      <c r="Q162" s="12" t="str">
        <v>Mid/Short-Term</v>
      </c>
      <c r="R162" s="12">
        <f t="shared" si="4"/>
        <v>21</v>
      </c>
      <c r="S162" s="12">
        <f t="shared" si="5"/>
        <v>11</v>
      </c>
      <c r="T162" s="12">
        <v>0</v>
      </c>
      <c r="U162" s="12" t="str">
        <v>Earning ₹56k</v>
      </c>
      <c r="V162" s="12">
        <v>8010</v>
      </c>
      <c r="W162" s="12" t="str">
        <v>Review</v>
      </c>
    </row>
    <row r="163" spans="1:23" x14ac:dyDescent="0.3">
      <c r="A163" t="s">
        <v>169</v>
      </c>
      <c r="B163" t="s">
        <v>369</v>
      </c>
      <c r="C163" t="s">
        <v>408</v>
      </c>
      <c r="D163" t="s">
        <v>413</v>
      </c>
      <c r="E163">
        <v>27</v>
      </c>
      <c r="F163" t="s">
        <v>418</v>
      </c>
      <c r="G163">
        <v>117844</v>
      </c>
      <c r="H163" t="s">
        <v>420</v>
      </c>
      <c r="I163" s="12" t="str">
        <v>Not Eligible</v>
      </c>
      <c r="J163" s="12" t="str">
        <v>Other</v>
      </c>
      <c r="K163" s="12" t="str">
        <v>Target Role</v>
      </c>
      <c r="L163" s="12" t="str">
        <v>High Earner</v>
      </c>
      <c r="M163" s="12" t="str">
        <v>OK</v>
      </c>
      <c r="N163" s="12" t="str">
        <v>Experienced</v>
      </c>
      <c r="O163" s="12" t="str">
        <v>Non-Metro</v>
      </c>
      <c r="P163" s="12" t="str">
        <v>Standard</v>
      </c>
      <c r="Q163" s="12" t="str">
        <v>Long-Term</v>
      </c>
      <c r="R163" s="12">
        <f t="shared" si="4"/>
        <v>21</v>
      </c>
      <c r="S163" s="12">
        <f t="shared" si="5"/>
        <v>11</v>
      </c>
      <c r="T163" s="12">
        <v>0</v>
      </c>
      <c r="U163" s="12" t="str">
        <v>Earning ₹118k</v>
      </c>
      <c r="V163" s="12">
        <v>4365</v>
      </c>
      <c r="W163" s="12" t="str">
        <v>Promotable</v>
      </c>
    </row>
    <row r="164" spans="1:23" x14ac:dyDescent="0.3">
      <c r="A164" t="s">
        <v>170</v>
      </c>
      <c r="B164" t="s">
        <v>370</v>
      </c>
      <c r="C164" t="s">
        <v>409</v>
      </c>
      <c r="D164" t="s">
        <v>413</v>
      </c>
      <c r="E164">
        <v>25</v>
      </c>
      <c r="F164" t="s">
        <v>419</v>
      </c>
      <c r="G164">
        <v>127799</v>
      </c>
      <c r="H164" t="s">
        <v>420</v>
      </c>
      <c r="I164" s="12" t="str">
        <v>Not Eligible</v>
      </c>
      <c r="J164" s="12" t="str">
        <v>Other</v>
      </c>
      <c r="K164" s="12" t="str">
        <v>General</v>
      </c>
      <c r="L164" s="12" t="str">
        <v>High Earner</v>
      </c>
      <c r="M164" s="12" t="str">
        <v>OK</v>
      </c>
      <c r="N164" s="12" t="str">
        <v>Experienced</v>
      </c>
      <c r="O164" s="12" t="str">
        <v>Metro</v>
      </c>
      <c r="P164" s="12" t="str">
        <v>Standard</v>
      </c>
      <c r="Q164" s="12" t="str">
        <v>Long-Term</v>
      </c>
      <c r="R164" s="12">
        <f t="shared" si="4"/>
        <v>21</v>
      </c>
      <c r="S164" s="12">
        <f t="shared" si="5"/>
        <v>11</v>
      </c>
      <c r="T164" s="12">
        <v>0</v>
      </c>
      <c r="U164" s="12" t="str">
        <v>Earning ₹128k</v>
      </c>
      <c r="V164" s="12">
        <v>5112</v>
      </c>
      <c r="W164" s="12" t="str">
        <v>Promotable</v>
      </c>
    </row>
    <row r="165" spans="1:23" x14ac:dyDescent="0.3">
      <c r="A165" t="s">
        <v>171</v>
      </c>
      <c r="B165" t="s">
        <v>371</v>
      </c>
      <c r="C165" t="s">
        <v>410</v>
      </c>
      <c r="D165" t="s">
        <v>413</v>
      </c>
      <c r="E165">
        <v>22</v>
      </c>
      <c r="F165" t="s">
        <v>417</v>
      </c>
      <c r="G165">
        <v>130656</v>
      </c>
      <c r="H165" t="s">
        <v>421</v>
      </c>
      <c r="I165" s="12" t="str">
        <v>Eligible</v>
      </c>
      <c r="J165" s="12" t="str">
        <v>Other</v>
      </c>
      <c r="K165" s="12" t="str">
        <v>Target Role</v>
      </c>
      <c r="L165" s="12" t="str">
        <v>High Earner</v>
      </c>
      <c r="M165" s="12" t="str">
        <v>OK</v>
      </c>
      <c r="N165" s="12" t="str">
        <v>Experienced</v>
      </c>
      <c r="O165" s="12" t="str">
        <v>Metro</v>
      </c>
      <c r="P165" s="12" t="str">
        <v>Standard</v>
      </c>
      <c r="Q165" s="12" t="str">
        <v>Long-Term</v>
      </c>
      <c r="R165" s="12">
        <f t="shared" si="4"/>
        <v>21</v>
      </c>
      <c r="S165" s="12">
        <f t="shared" si="5"/>
        <v>11</v>
      </c>
      <c r="T165" s="12">
        <v>26131.200000000001</v>
      </c>
      <c r="U165" s="12" t="str">
        <v>Earning ₹131k</v>
      </c>
      <c r="V165" s="12">
        <v>5939</v>
      </c>
      <c r="W165" s="12" t="str">
        <v>Promotable</v>
      </c>
    </row>
    <row r="166" spans="1:23" x14ac:dyDescent="0.3">
      <c r="A166" t="s">
        <v>172</v>
      </c>
      <c r="B166" t="s">
        <v>372</v>
      </c>
      <c r="C166" t="s">
        <v>408</v>
      </c>
      <c r="D166" t="s">
        <v>413</v>
      </c>
      <c r="E166">
        <v>25</v>
      </c>
      <c r="F166" t="s">
        <v>417</v>
      </c>
      <c r="G166">
        <v>144198</v>
      </c>
      <c r="H166" t="s">
        <v>420</v>
      </c>
      <c r="I166" s="12" t="str">
        <v>Not Eligible</v>
      </c>
      <c r="J166" s="12" t="str">
        <v>Other</v>
      </c>
      <c r="K166" s="12" t="str">
        <v>Target Role</v>
      </c>
      <c r="L166" s="12" t="str">
        <v>High Earner</v>
      </c>
      <c r="M166" s="12" t="str">
        <v>OK</v>
      </c>
      <c r="N166" s="12" t="str">
        <v>Experienced</v>
      </c>
      <c r="O166" s="12" t="str">
        <v>Metro</v>
      </c>
      <c r="P166" s="12" t="str">
        <v>Standard</v>
      </c>
      <c r="Q166" s="12" t="str">
        <v>Long-Term</v>
      </c>
      <c r="R166" s="12">
        <f t="shared" si="4"/>
        <v>20</v>
      </c>
      <c r="S166" s="12">
        <f t="shared" si="5"/>
        <v>11</v>
      </c>
      <c r="T166" s="12">
        <v>0</v>
      </c>
      <c r="U166" s="12" t="str">
        <v>Earning ₹144k</v>
      </c>
      <c r="V166" s="12">
        <v>5768</v>
      </c>
      <c r="W166" s="12" t="str">
        <v>Promotable</v>
      </c>
    </row>
    <row r="167" spans="1:23" x14ac:dyDescent="0.3">
      <c r="A167" t="s">
        <v>173</v>
      </c>
      <c r="B167" t="s">
        <v>373</v>
      </c>
      <c r="C167" t="s">
        <v>411</v>
      </c>
      <c r="D167" t="s">
        <v>413</v>
      </c>
      <c r="E167">
        <v>27</v>
      </c>
      <c r="F167" t="s">
        <v>415</v>
      </c>
      <c r="G167">
        <v>96233</v>
      </c>
      <c r="H167" t="s">
        <v>421</v>
      </c>
      <c r="I167" s="12" t="str">
        <v>Eligible</v>
      </c>
      <c r="J167" s="12" t="str">
        <v>Other</v>
      </c>
      <c r="K167" s="12" t="str">
        <v>General</v>
      </c>
      <c r="L167" s="12" t="str">
        <v>Regular</v>
      </c>
      <c r="M167" s="12" t="str">
        <v>OK</v>
      </c>
      <c r="N167" s="12" t="str">
        <v>Experienced</v>
      </c>
      <c r="O167" s="12" t="str">
        <v>Metro</v>
      </c>
      <c r="P167" s="12" t="str">
        <v>Standard</v>
      </c>
      <c r="Q167" s="12" t="str">
        <v>Long-Term</v>
      </c>
      <c r="R167" s="12">
        <f t="shared" si="4"/>
        <v>20</v>
      </c>
      <c r="S167" s="12">
        <f t="shared" si="5"/>
        <v>11</v>
      </c>
      <c r="T167" s="12">
        <v>19246.600000000002</v>
      </c>
      <c r="U167" s="12" t="str">
        <v>Earning ₹96k</v>
      </c>
      <c r="V167" s="12">
        <v>3564</v>
      </c>
      <c r="W167" s="12" t="str">
        <v>Promotable</v>
      </c>
    </row>
    <row r="168" spans="1:23" x14ac:dyDescent="0.3">
      <c r="A168" t="s">
        <v>174</v>
      </c>
      <c r="B168" t="s">
        <v>374</v>
      </c>
      <c r="C168" t="s">
        <v>411</v>
      </c>
      <c r="D168" t="s">
        <v>413</v>
      </c>
      <c r="E168">
        <v>0</v>
      </c>
      <c r="F168" t="s">
        <v>415</v>
      </c>
      <c r="G168">
        <v>50236</v>
      </c>
      <c r="H168" t="s">
        <v>420</v>
      </c>
      <c r="I168" s="12" t="str">
        <v>Not Eligible</v>
      </c>
      <c r="J168" s="12" t="str">
        <v>Other</v>
      </c>
      <c r="K168" s="12" t="str">
        <v>General</v>
      </c>
      <c r="L168" s="12" t="str">
        <v>Regular</v>
      </c>
      <c r="M168" s="12" t="str">
        <v>OK</v>
      </c>
      <c r="N168" s="12" t="str">
        <v>Junior</v>
      </c>
      <c r="O168" s="12" t="str">
        <v>Metro</v>
      </c>
      <c r="P168" s="12" t="str">
        <v>Standard</v>
      </c>
      <c r="Q168" s="12" t="str">
        <v>Mid/Short-Term</v>
      </c>
      <c r="R168" s="12">
        <f t="shared" si="4"/>
        <v>19</v>
      </c>
      <c r="S168" s="12">
        <f t="shared" si="5"/>
        <v>11</v>
      </c>
      <c r="T168" s="12">
        <v>0</v>
      </c>
      <c r="U168" s="12" t="str">
        <v>Earning ₹50k</v>
      </c>
      <c r="V168" s="12" t="str">
        <v>Check Data</v>
      </c>
      <c r="W168" s="12" t="str">
        <v>Review</v>
      </c>
    </row>
    <row r="169" spans="1:23" x14ac:dyDescent="0.3">
      <c r="A169" t="s">
        <v>175</v>
      </c>
      <c r="B169" t="s">
        <v>375</v>
      </c>
      <c r="C169" t="s">
        <v>411</v>
      </c>
      <c r="D169" t="s">
        <v>414</v>
      </c>
      <c r="E169">
        <v>30</v>
      </c>
      <c r="F169" t="s">
        <v>418</v>
      </c>
      <c r="G169">
        <v>117372</v>
      </c>
      <c r="H169" t="s">
        <v>421</v>
      </c>
      <c r="I169" s="12" t="str">
        <v>Eligible</v>
      </c>
      <c r="J169" s="12" t="str">
        <v>Senior Permanent</v>
      </c>
      <c r="K169" s="12" t="str">
        <v>General</v>
      </c>
      <c r="L169" s="12" t="str">
        <v>High Earner</v>
      </c>
      <c r="M169" s="12" t="str">
        <v>OK</v>
      </c>
      <c r="N169" s="12" t="str">
        <v>Experienced</v>
      </c>
      <c r="O169" s="12" t="str">
        <v>Non-Metro</v>
      </c>
      <c r="P169" s="12" t="str">
        <v>Standard</v>
      </c>
      <c r="Q169" s="12" t="str">
        <v>Long-Term</v>
      </c>
      <c r="R169" s="12">
        <f t="shared" si="4"/>
        <v>19</v>
      </c>
      <c r="S169" s="12">
        <f t="shared" si="5"/>
        <v>11</v>
      </c>
      <c r="T169" s="12">
        <v>23474.400000000001</v>
      </c>
      <c r="U169" s="12" t="str">
        <v>Earning ₹117k</v>
      </c>
      <c r="V169" s="12">
        <v>3912</v>
      </c>
      <c r="W169" s="12" t="str">
        <v>Promotable</v>
      </c>
    </row>
    <row r="170" spans="1:23" x14ac:dyDescent="0.3">
      <c r="A170" t="s">
        <v>176</v>
      </c>
      <c r="B170" t="s">
        <v>376</v>
      </c>
      <c r="C170" t="s">
        <v>412</v>
      </c>
      <c r="D170" t="s">
        <v>413</v>
      </c>
      <c r="E170">
        <v>25</v>
      </c>
      <c r="F170" t="s">
        <v>415</v>
      </c>
      <c r="G170">
        <v>118929</v>
      </c>
      <c r="H170" t="s">
        <v>420</v>
      </c>
      <c r="I170" s="12" t="str">
        <v>Not Eligible</v>
      </c>
      <c r="J170" s="12" t="str">
        <v>Other</v>
      </c>
      <c r="K170" s="12" t="str">
        <v>General</v>
      </c>
      <c r="L170" s="12" t="str">
        <v>High Earner</v>
      </c>
      <c r="M170" s="12" t="str">
        <v>OK</v>
      </c>
      <c r="N170" s="12" t="str">
        <v>Experienced</v>
      </c>
      <c r="O170" s="12" t="str">
        <v>Metro</v>
      </c>
      <c r="P170" s="12" t="str">
        <v>Standard</v>
      </c>
      <c r="Q170" s="12" t="str">
        <v>Long-Term</v>
      </c>
      <c r="R170" s="12">
        <f t="shared" si="4"/>
        <v>18</v>
      </c>
      <c r="S170" s="12">
        <f t="shared" si="5"/>
        <v>10</v>
      </c>
      <c r="T170" s="12">
        <v>0</v>
      </c>
      <c r="U170" s="12" t="str">
        <v>Earning ₹119k</v>
      </c>
      <c r="V170" s="12">
        <v>4757</v>
      </c>
      <c r="W170" s="12" t="str">
        <v>Promotable</v>
      </c>
    </row>
    <row r="171" spans="1:23" x14ac:dyDescent="0.3">
      <c r="A171" t="s">
        <v>177</v>
      </c>
      <c r="B171" t="s">
        <v>377</v>
      </c>
      <c r="C171" t="s">
        <v>409</v>
      </c>
      <c r="D171" t="s">
        <v>413</v>
      </c>
      <c r="E171">
        <v>17</v>
      </c>
      <c r="F171" t="s">
        <v>418</v>
      </c>
      <c r="G171">
        <v>53809</v>
      </c>
      <c r="H171" t="s">
        <v>421</v>
      </c>
      <c r="I171" s="12" t="str">
        <v>Eligible</v>
      </c>
      <c r="J171" s="12" t="str">
        <v>Other</v>
      </c>
      <c r="K171" s="12" t="str">
        <v>General</v>
      </c>
      <c r="L171" s="12" t="str">
        <v>Regular</v>
      </c>
      <c r="M171" s="12" t="str">
        <v>OK</v>
      </c>
      <c r="N171" s="12" t="str">
        <v>Experienced</v>
      </c>
      <c r="O171" s="12" t="str">
        <v>Non-Metro</v>
      </c>
      <c r="P171" s="12" t="str">
        <v>Standard</v>
      </c>
      <c r="Q171" s="12" t="str">
        <v>Long-Term</v>
      </c>
      <c r="R171" s="12">
        <f t="shared" si="4"/>
        <v>18</v>
      </c>
      <c r="S171" s="12">
        <f t="shared" si="5"/>
        <v>10</v>
      </c>
      <c r="T171" s="12">
        <v>10761.800000000001</v>
      </c>
      <c r="U171" s="12" t="str">
        <v>Earning ₹54k</v>
      </c>
      <c r="V171" s="12">
        <v>3165</v>
      </c>
      <c r="W171" s="12" t="str">
        <v>Review</v>
      </c>
    </row>
    <row r="172" spans="1:23" x14ac:dyDescent="0.3">
      <c r="A172" t="s">
        <v>178</v>
      </c>
      <c r="B172" t="s">
        <v>378</v>
      </c>
      <c r="C172" t="s">
        <v>408</v>
      </c>
      <c r="D172" t="s">
        <v>413</v>
      </c>
      <c r="E172">
        <v>15</v>
      </c>
      <c r="F172" t="s">
        <v>419</v>
      </c>
      <c r="G172">
        <v>52331</v>
      </c>
      <c r="H172" t="s">
        <v>421</v>
      </c>
      <c r="I172" s="12" t="str">
        <v>Eligible</v>
      </c>
      <c r="J172" s="12" t="str">
        <v>Other</v>
      </c>
      <c r="K172" s="12" t="str">
        <v>Target Role</v>
      </c>
      <c r="L172" s="12" t="str">
        <v>Regular</v>
      </c>
      <c r="M172" s="12" t="str">
        <v>OK</v>
      </c>
      <c r="N172" s="12" t="str">
        <v>Experienced</v>
      </c>
      <c r="O172" s="12" t="str">
        <v>Metro</v>
      </c>
      <c r="P172" s="12" t="str">
        <v>Standard</v>
      </c>
      <c r="Q172" s="12" t="str">
        <v>Mid/Short-Term</v>
      </c>
      <c r="R172" s="12">
        <f t="shared" si="4"/>
        <v>17</v>
      </c>
      <c r="S172" s="12">
        <f t="shared" si="5"/>
        <v>10</v>
      </c>
      <c r="T172" s="12">
        <v>10466.200000000001</v>
      </c>
      <c r="U172" s="12" t="str">
        <v>Earning ₹52k</v>
      </c>
      <c r="V172" s="12">
        <v>3489</v>
      </c>
      <c r="W172" s="12" t="str">
        <v>Review</v>
      </c>
    </row>
    <row r="173" spans="1:23" x14ac:dyDescent="0.3">
      <c r="A173" t="s">
        <v>179</v>
      </c>
      <c r="B173" t="s">
        <v>379</v>
      </c>
      <c r="C173" t="s">
        <v>410</v>
      </c>
      <c r="D173" t="s">
        <v>414</v>
      </c>
      <c r="E173">
        <v>14</v>
      </c>
      <c r="F173" t="s">
        <v>418</v>
      </c>
      <c r="G173">
        <v>149403</v>
      </c>
      <c r="H173" t="s">
        <v>421</v>
      </c>
      <c r="I173" s="12" t="str">
        <v>Eligible</v>
      </c>
      <c r="J173" s="12" t="str">
        <v>Senior Permanent</v>
      </c>
      <c r="K173" s="12" t="str">
        <v>General</v>
      </c>
      <c r="L173" s="12" t="str">
        <v>High Earner</v>
      </c>
      <c r="M173" s="12" t="str">
        <v>OK</v>
      </c>
      <c r="N173" s="12" t="str">
        <v>Experienced</v>
      </c>
      <c r="O173" s="12" t="str">
        <v>Non-Metro</v>
      </c>
      <c r="P173" s="12" t="str">
        <v>Standard</v>
      </c>
      <c r="Q173" s="12" t="str">
        <v>Mid/Short-Term</v>
      </c>
      <c r="R173" s="12">
        <f t="shared" si="4"/>
        <v>16</v>
      </c>
      <c r="S173" s="12">
        <f t="shared" si="5"/>
        <v>10</v>
      </c>
      <c r="T173" s="12">
        <v>29880.600000000002</v>
      </c>
      <c r="U173" s="12" t="str">
        <v>Earning ₹149k</v>
      </c>
      <c r="V173" s="12">
        <v>10672</v>
      </c>
      <c r="W173" s="12" t="str">
        <v>Promotable</v>
      </c>
    </row>
    <row r="174" spans="1:23" x14ac:dyDescent="0.3">
      <c r="A174" t="s">
        <v>180</v>
      </c>
      <c r="B174" t="s">
        <v>380</v>
      </c>
      <c r="C174" t="s">
        <v>412</v>
      </c>
      <c r="D174" t="s">
        <v>414</v>
      </c>
      <c r="E174">
        <v>16</v>
      </c>
      <c r="F174" t="s">
        <v>418</v>
      </c>
      <c r="G174">
        <v>33169</v>
      </c>
      <c r="H174" t="s">
        <v>421</v>
      </c>
      <c r="I174" s="12" t="str">
        <v>Eligible</v>
      </c>
      <c r="J174" s="12" t="str">
        <v>Senior Permanent</v>
      </c>
      <c r="K174" s="12" t="str">
        <v>General</v>
      </c>
      <c r="L174" s="12" t="str">
        <v>Regular</v>
      </c>
      <c r="M174" s="12" t="str">
        <v>OK</v>
      </c>
      <c r="N174" s="12" t="str">
        <v>Experienced</v>
      </c>
      <c r="O174" s="12" t="str">
        <v>Non-Metro</v>
      </c>
      <c r="P174" s="12" t="str">
        <v>Standard</v>
      </c>
      <c r="Q174" s="12" t="str">
        <v>Long-Term</v>
      </c>
      <c r="R174" s="12">
        <f t="shared" si="4"/>
        <v>15</v>
      </c>
      <c r="S174" s="12">
        <f t="shared" si="5"/>
        <v>9</v>
      </c>
      <c r="T174" s="12">
        <v>6633.8</v>
      </c>
      <c r="U174" s="12" t="str">
        <v>Earning ₹33k</v>
      </c>
      <c r="V174" s="12">
        <v>2073</v>
      </c>
      <c r="W174" s="12" t="str">
        <v>Review</v>
      </c>
    </row>
    <row r="175" spans="1:23" x14ac:dyDescent="0.3">
      <c r="A175" t="s">
        <v>181</v>
      </c>
      <c r="B175" t="s">
        <v>381</v>
      </c>
      <c r="C175" t="s">
        <v>409</v>
      </c>
      <c r="D175" t="s">
        <v>413</v>
      </c>
      <c r="E175">
        <v>19</v>
      </c>
      <c r="F175" t="s">
        <v>418</v>
      </c>
      <c r="G175">
        <v>86501</v>
      </c>
      <c r="H175" t="s">
        <v>421</v>
      </c>
      <c r="I175" s="12" t="str">
        <v>Eligible</v>
      </c>
      <c r="J175" s="12" t="str">
        <v>Other</v>
      </c>
      <c r="K175" s="12" t="str">
        <v>General</v>
      </c>
      <c r="L175" s="12" t="str">
        <v>Regular</v>
      </c>
      <c r="M175" s="12" t="str">
        <v>OK</v>
      </c>
      <c r="N175" s="12" t="str">
        <v>Experienced</v>
      </c>
      <c r="O175" s="12" t="str">
        <v>Non-Metro</v>
      </c>
      <c r="P175" s="12" t="str">
        <v>Standard</v>
      </c>
      <c r="Q175" s="12" t="str">
        <v>Long-Term</v>
      </c>
      <c r="R175" s="12">
        <f t="shared" si="4"/>
        <v>14</v>
      </c>
      <c r="S175" s="12">
        <f t="shared" si="5"/>
        <v>9</v>
      </c>
      <c r="T175" s="12">
        <v>17300.2</v>
      </c>
      <c r="U175" s="12" t="str">
        <v>Earning ₹87k</v>
      </c>
      <c r="V175" s="12">
        <v>4553</v>
      </c>
      <c r="W175" s="12" t="str">
        <v>Review</v>
      </c>
    </row>
    <row r="176" spans="1:23" x14ac:dyDescent="0.3">
      <c r="A176" t="s">
        <v>182</v>
      </c>
      <c r="B176" t="s">
        <v>382</v>
      </c>
      <c r="C176" t="s">
        <v>411</v>
      </c>
      <c r="D176" t="s">
        <v>413</v>
      </c>
      <c r="E176">
        <v>30</v>
      </c>
      <c r="F176" t="s">
        <v>415</v>
      </c>
      <c r="G176">
        <v>79805</v>
      </c>
      <c r="H176" t="s">
        <v>421</v>
      </c>
      <c r="I176" s="12" t="str">
        <v>Eligible</v>
      </c>
      <c r="J176" s="12" t="str">
        <v>Other</v>
      </c>
      <c r="K176" s="12" t="str">
        <v>General</v>
      </c>
      <c r="L176" s="12" t="str">
        <v>Regular</v>
      </c>
      <c r="M176" s="12" t="str">
        <v>OK</v>
      </c>
      <c r="N176" s="12" t="str">
        <v>Experienced</v>
      </c>
      <c r="O176" s="12" t="str">
        <v>Metro</v>
      </c>
      <c r="P176" s="12" t="str">
        <v>Standard</v>
      </c>
      <c r="Q176" s="12" t="str">
        <v>Long-Term</v>
      </c>
      <c r="R176" s="12">
        <f t="shared" si="4"/>
        <v>13</v>
      </c>
      <c r="S176" s="12">
        <f t="shared" si="5"/>
        <v>9</v>
      </c>
      <c r="T176" s="12">
        <v>15961</v>
      </c>
      <c r="U176" s="12" t="str">
        <v>Earning ₹80k</v>
      </c>
      <c r="V176" s="12">
        <v>2660</v>
      </c>
      <c r="W176" s="12" t="str">
        <v>Review</v>
      </c>
    </row>
    <row r="177" spans="1:23" x14ac:dyDescent="0.3">
      <c r="A177" t="s">
        <v>183</v>
      </c>
      <c r="B177" t="s">
        <v>383</v>
      </c>
      <c r="C177" t="s">
        <v>412</v>
      </c>
      <c r="D177" t="s">
        <v>414</v>
      </c>
      <c r="E177">
        <v>14</v>
      </c>
      <c r="F177" t="s">
        <v>417</v>
      </c>
      <c r="G177">
        <v>131757</v>
      </c>
      <c r="H177" t="s">
        <v>420</v>
      </c>
      <c r="I177" s="12" t="str">
        <v>Not Eligible</v>
      </c>
      <c r="J177" s="12" t="str">
        <v>Senior Permanent</v>
      </c>
      <c r="K177" s="12" t="str">
        <v>Target Role</v>
      </c>
      <c r="L177" s="12" t="str">
        <v>High Earner</v>
      </c>
      <c r="M177" s="12" t="str">
        <v>OK</v>
      </c>
      <c r="N177" s="12" t="str">
        <v>Experienced</v>
      </c>
      <c r="O177" s="12" t="str">
        <v>Metro</v>
      </c>
      <c r="P177" s="12" t="str">
        <v>Standard</v>
      </c>
      <c r="Q177" s="12" t="str">
        <v>Mid/Short-Term</v>
      </c>
      <c r="R177" s="12">
        <f t="shared" si="4"/>
        <v>12</v>
      </c>
      <c r="S177" s="12">
        <f t="shared" si="5"/>
        <v>9</v>
      </c>
      <c r="T177" s="12">
        <v>0</v>
      </c>
      <c r="U177" s="12" t="str">
        <v>Earning ₹132k</v>
      </c>
      <c r="V177" s="12">
        <v>9411</v>
      </c>
      <c r="W177" s="12" t="str">
        <v>Promotable</v>
      </c>
    </row>
    <row r="178" spans="1:23" x14ac:dyDescent="0.3">
      <c r="A178" t="s">
        <v>184</v>
      </c>
      <c r="B178" t="s">
        <v>384</v>
      </c>
      <c r="C178" t="s">
        <v>409</v>
      </c>
      <c r="D178" t="s">
        <v>414</v>
      </c>
      <c r="E178">
        <v>21</v>
      </c>
      <c r="F178" t="s">
        <v>415</v>
      </c>
      <c r="G178">
        <v>27478</v>
      </c>
      <c r="H178" t="s">
        <v>421</v>
      </c>
      <c r="I178" s="12" t="str">
        <v>Eligible</v>
      </c>
      <c r="J178" s="12" t="str">
        <v>Senior Permanent</v>
      </c>
      <c r="K178" s="12" t="str">
        <v>General</v>
      </c>
      <c r="L178" s="12" t="str">
        <v>Regular</v>
      </c>
      <c r="M178" s="12" t="str">
        <v>OK</v>
      </c>
      <c r="N178" s="12" t="str">
        <v>Experienced</v>
      </c>
      <c r="O178" s="12" t="str">
        <v>Metro</v>
      </c>
      <c r="P178" s="12" t="str">
        <v>Standard</v>
      </c>
      <c r="Q178" s="12" t="str">
        <v>Long-Term</v>
      </c>
      <c r="R178" s="12">
        <f t="shared" si="4"/>
        <v>12</v>
      </c>
      <c r="S178" s="12">
        <f t="shared" si="5"/>
        <v>8</v>
      </c>
      <c r="T178" s="12">
        <v>5495.6</v>
      </c>
      <c r="U178" s="12" t="str">
        <v>Earning ₹27k</v>
      </c>
      <c r="V178" s="12">
        <v>1308</v>
      </c>
      <c r="W178" s="12" t="str">
        <v>Review</v>
      </c>
    </row>
    <row r="179" spans="1:23" x14ac:dyDescent="0.3">
      <c r="A179" t="s">
        <v>185</v>
      </c>
      <c r="B179" t="s">
        <v>385</v>
      </c>
      <c r="C179" t="s">
        <v>411</v>
      </c>
      <c r="D179" t="s">
        <v>414</v>
      </c>
      <c r="E179">
        <v>22</v>
      </c>
      <c r="F179" t="s">
        <v>416</v>
      </c>
      <c r="G179">
        <v>27497</v>
      </c>
      <c r="H179" t="s">
        <v>421</v>
      </c>
      <c r="I179" s="12" t="str">
        <v>Eligible</v>
      </c>
      <c r="J179" s="12" t="str">
        <v>Senior Permanent</v>
      </c>
      <c r="K179" s="12" t="str">
        <v>General</v>
      </c>
      <c r="L179" s="12" t="str">
        <v>Regular</v>
      </c>
      <c r="M179" s="12" t="str">
        <v>OK</v>
      </c>
      <c r="N179" s="12" t="str">
        <v>Experienced</v>
      </c>
      <c r="O179" s="12" t="str">
        <v>Non-Metro</v>
      </c>
      <c r="P179" s="12" t="str">
        <v>Standard</v>
      </c>
      <c r="Q179" s="12" t="str">
        <v>Long-Term</v>
      </c>
      <c r="R179" s="12">
        <f t="shared" si="4"/>
        <v>11</v>
      </c>
      <c r="S179" s="12">
        <f t="shared" si="5"/>
        <v>8</v>
      </c>
      <c r="T179" s="12">
        <v>5499.4000000000005</v>
      </c>
      <c r="U179" s="12" t="str">
        <v>Earning ₹27k</v>
      </c>
      <c r="V179" s="12">
        <v>1250</v>
      </c>
      <c r="W179" s="12" t="str">
        <v>Review</v>
      </c>
    </row>
    <row r="180" spans="1:23" x14ac:dyDescent="0.3">
      <c r="A180" t="s">
        <v>186</v>
      </c>
      <c r="B180" t="s">
        <v>386</v>
      </c>
      <c r="C180" t="s">
        <v>408</v>
      </c>
      <c r="D180" t="s">
        <v>414</v>
      </c>
      <c r="E180">
        <v>20</v>
      </c>
      <c r="F180" t="s">
        <v>417</v>
      </c>
      <c r="G180">
        <v>106240</v>
      </c>
      <c r="H180" t="s">
        <v>420</v>
      </c>
      <c r="I180" s="12" t="str">
        <v>Not Eligible</v>
      </c>
      <c r="J180" s="12" t="str">
        <v>Senior Permanent</v>
      </c>
      <c r="K180" s="12" t="str">
        <v>Target Role</v>
      </c>
      <c r="L180" s="12" t="str">
        <v>High Earner</v>
      </c>
      <c r="M180" s="12" t="str">
        <v>OK</v>
      </c>
      <c r="N180" s="12" t="str">
        <v>Experienced</v>
      </c>
      <c r="O180" s="12" t="str">
        <v>Metro</v>
      </c>
      <c r="P180" s="12" t="str">
        <v>Standard</v>
      </c>
      <c r="Q180" s="12" t="str">
        <v>Long-Term</v>
      </c>
      <c r="R180" s="12">
        <f t="shared" si="4"/>
        <v>10</v>
      </c>
      <c r="S180" s="12">
        <f t="shared" si="5"/>
        <v>8</v>
      </c>
      <c r="T180" s="12">
        <v>0</v>
      </c>
      <c r="U180" s="12" t="str">
        <v>Earning ₹106k</v>
      </c>
      <c r="V180" s="12">
        <v>5312</v>
      </c>
      <c r="W180" s="12" t="str">
        <v>Promotable</v>
      </c>
    </row>
    <row r="181" spans="1:23" x14ac:dyDescent="0.3">
      <c r="A181" t="s">
        <v>187</v>
      </c>
      <c r="B181" t="s">
        <v>387</v>
      </c>
      <c r="C181" t="s">
        <v>411</v>
      </c>
      <c r="D181" t="s">
        <v>414</v>
      </c>
      <c r="E181">
        <v>21</v>
      </c>
      <c r="F181" t="s">
        <v>419</v>
      </c>
      <c r="G181">
        <v>117358</v>
      </c>
      <c r="H181" t="s">
        <v>421</v>
      </c>
      <c r="I181" s="12" t="str">
        <v>Eligible</v>
      </c>
      <c r="J181" s="12" t="str">
        <v>Senior Permanent</v>
      </c>
      <c r="K181" s="12" t="str">
        <v>General</v>
      </c>
      <c r="L181" s="12" t="str">
        <v>High Earner</v>
      </c>
      <c r="M181" s="12" t="str">
        <v>OK</v>
      </c>
      <c r="N181" s="12" t="str">
        <v>Experienced</v>
      </c>
      <c r="O181" s="12" t="str">
        <v>Metro</v>
      </c>
      <c r="P181" s="12" t="str">
        <v>Standard</v>
      </c>
      <c r="Q181" s="12" t="str">
        <v>Long-Term</v>
      </c>
      <c r="R181" s="12">
        <f t="shared" si="4"/>
        <v>10</v>
      </c>
      <c r="S181" s="12">
        <f t="shared" si="5"/>
        <v>7</v>
      </c>
      <c r="T181" s="12">
        <v>23471.600000000002</v>
      </c>
      <c r="U181" s="12" t="str">
        <v>Earning ₹117k</v>
      </c>
      <c r="V181" s="12">
        <v>5588</v>
      </c>
      <c r="W181" s="12" t="str">
        <v>Promotable</v>
      </c>
    </row>
    <row r="182" spans="1:23" x14ac:dyDescent="0.3">
      <c r="A182" t="s">
        <v>188</v>
      </c>
      <c r="B182" t="s">
        <v>388</v>
      </c>
      <c r="C182" t="s">
        <v>411</v>
      </c>
      <c r="D182" t="s">
        <v>414</v>
      </c>
      <c r="E182">
        <v>16</v>
      </c>
      <c r="F182" t="s">
        <v>419</v>
      </c>
      <c r="G182">
        <v>64916</v>
      </c>
      <c r="H182" t="s">
        <v>420</v>
      </c>
      <c r="I182" s="12" t="str">
        <v>Not Eligible</v>
      </c>
      <c r="J182" s="12" t="str">
        <v>Senior Permanent</v>
      </c>
      <c r="K182" s="12" t="str">
        <v>General</v>
      </c>
      <c r="L182" s="12" t="str">
        <v>Regular</v>
      </c>
      <c r="M182" s="12" t="str">
        <v>OK</v>
      </c>
      <c r="N182" s="12" t="str">
        <v>Experienced</v>
      </c>
      <c r="O182" s="12" t="str">
        <v>Metro</v>
      </c>
      <c r="P182" s="12" t="str">
        <v>Standard</v>
      </c>
      <c r="Q182" s="12" t="str">
        <v>Long-Term</v>
      </c>
      <c r="R182" s="12">
        <f t="shared" si="4"/>
        <v>9</v>
      </c>
      <c r="S182" s="12">
        <f t="shared" si="5"/>
        <v>6</v>
      </c>
      <c r="T182" s="12">
        <v>0</v>
      </c>
      <c r="U182" s="12" t="str">
        <v>Earning ₹65k</v>
      </c>
      <c r="V182" s="12">
        <v>4057</v>
      </c>
      <c r="W182" s="12" t="str">
        <v>Review</v>
      </c>
    </row>
    <row r="183" spans="1:23" x14ac:dyDescent="0.3">
      <c r="A183" t="s">
        <v>189</v>
      </c>
      <c r="B183" t="s">
        <v>389</v>
      </c>
      <c r="C183" t="s">
        <v>408</v>
      </c>
      <c r="D183" t="s">
        <v>414</v>
      </c>
      <c r="E183">
        <v>27</v>
      </c>
      <c r="F183" t="s">
        <v>416</v>
      </c>
      <c r="G183">
        <v>138361</v>
      </c>
      <c r="H183" t="s">
        <v>420</v>
      </c>
      <c r="I183" s="12" t="str">
        <v>Not Eligible</v>
      </c>
      <c r="J183" s="12" t="str">
        <v>Senior Permanent</v>
      </c>
      <c r="K183" s="12" t="str">
        <v>Target Role</v>
      </c>
      <c r="L183" s="12" t="str">
        <v>High Earner</v>
      </c>
      <c r="M183" s="12" t="str">
        <v>OK</v>
      </c>
      <c r="N183" s="12" t="str">
        <v>Experienced</v>
      </c>
      <c r="O183" s="12" t="str">
        <v>Non-Metro</v>
      </c>
      <c r="P183" s="12" t="str">
        <v>Standard</v>
      </c>
      <c r="Q183" s="12" t="str">
        <v>Long-Term</v>
      </c>
      <c r="R183" s="12">
        <f t="shared" si="4"/>
        <v>9</v>
      </c>
      <c r="S183" s="12">
        <f t="shared" si="5"/>
        <v>6</v>
      </c>
      <c r="T183" s="12">
        <v>0</v>
      </c>
      <c r="U183" s="12" t="str">
        <v>Earning ₹138k</v>
      </c>
      <c r="V183" s="12">
        <v>5124</v>
      </c>
      <c r="W183" s="12" t="str">
        <v>Promotable</v>
      </c>
    </row>
    <row r="184" spans="1:23" x14ac:dyDescent="0.3">
      <c r="A184" t="s">
        <v>190</v>
      </c>
      <c r="B184" t="s">
        <v>390</v>
      </c>
      <c r="C184" t="s">
        <v>410</v>
      </c>
      <c r="D184" t="s">
        <v>414</v>
      </c>
      <c r="E184">
        <v>0</v>
      </c>
      <c r="F184" t="s">
        <v>415</v>
      </c>
      <c r="G184">
        <v>93027</v>
      </c>
      <c r="H184" t="s">
        <v>420</v>
      </c>
      <c r="I184" s="12" t="str">
        <v>Not Eligible</v>
      </c>
      <c r="J184" s="12" t="str">
        <v>Other</v>
      </c>
      <c r="K184" s="12" t="str">
        <v>General</v>
      </c>
      <c r="L184" s="12" t="str">
        <v>Regular</v>
      </c>
      <c r="M184" s="12" t="str">
        <v>OK</v>
      </c>
      <c r="N184" s="12" t="str">
        <v>Experienced</v>
      </c>
      <c r="O184" s="12" t="str">
        <v>Metro</v>
      </c>
      <c r="P184" s="12" t="str">
        <v>Standard</v>
      </c>
      <c r="Q184" s="12" t="str">
        <v>Mid/Short-Term</v>
      </c>
      <c r="R184" s="12">
        <f t="shared" si="4"/>
        <v>9</v>
      </c>
      <c r="S184" s="12">
        <f t="shared" si="5"/>
        <v>5</v>
      </c>
      <c r="T184" s="12">
        <v>0</v>
      </c>
      <c r="U184" s="12" t="str">
        <v>Earning ₹93k</v>
      </c>
      <c r="V184" s="12" t="str">
        <v>Check Data</v>
      </c>
      <c r="W184" s="12" t="str">
        <v>Review</v>
      </c>
    </row>
    <row r="185" spans="1:23" x14ac:dyDescent="0.3">
      <c r="A185" t="s">
        <v>191</v>
      </c>
      <c r="B185" t="s">
        <v>391</v>
      </c>
      <c r="C185" t="s">
        <v>411</v>
      </c>
      <c r="D185" t="s">
        <v>413</v>
      </c>
      <c r="E185">
        <v>1</v>
      </c>
      <c r="F185" t="s">
        <v>415</v>
      </c>
      <c r="G185">
        <v>137254</v>
      </c>
      <c r="H185" t="s">
        <v>420</v>
      </c>
      <c r="I185" s="12" t="str">
        <v>Not Eligible</v>
      </c>
      <c r="J185" s="12" t="str">
        <v>Other</v>
      </c>
      <c r="K185" s="12" t="str">
        <v>General</v>
      </c>
      <c r="L185" s="12" t="str">
        <v>High Earner</v>
      </c>
      <c r="M185" s="12" t="str">
        <v>OK</v>
      </c>
      <c r="N185" s="12" t="str">
        <v>Experienced</v>
      </c>
      <c r="O185" s="12" t="str">
        <v>Metro</v>
      </c>
      <c r="P185" s="12" t="str">
        <v>Standard</v>
      </c>
      <c r="Q185" s="12" t="str">
        <v>Mid/Short-Term</v>
      </c>
      <c r="R185" s="12">
        <f t="shared" si="4"/>
        <v>9</v>
      </c>
      <c r="S185" s="12">
        <f t="shared" si="5"/>
        <v>4</v>
      </c>
      <c r="T185" s="12">
        <v>0</v>
      </c>
      <c r="U185" s="12" t="str">
        <v>Earning ₹137k</v>
      </c>
      <c r="V185" s="12">
        <v>137254</v>
      </c>
      <c r="W185" s="12" t="str">
        <v>Review</v>
      </c>
    </row>
    <row r="186" spans="1:23" x14ac:dyDescent="0.3">
      <c r="A186" t="s">
        <v>192</v>
      </c>
      <c r="B186" t="s">
        <v>392</v>
      </c>
      <c r="C186" t="s">
        <v>408</v>
      </c>
      <c r="D186" t="s">
        <v>413</v>
      </c>
      <c r="E186">
        <v>19</v>
      </c>
      <c r="F186" t="s">
        <v>417</v>
      </c>
      <c r="G186">
        <v>80683</v>
      </c>
      <c r="H186" t="s">
        <v>421</v>
      </c>
      <c r="I186" s="12" t="str">
        <v>Eligible</v>
      </c>
      <c r="J186" s="12" t="str">
        <v>Other</v>
      </c>
      <c r="K186" s="12" t="str">
        <v>Target Role</v>
      </c>
      <c r="L186" s="12" t="str">
        <v>Regular</v>
      </c>
      <c r="M186" s="12" t="str">
        <v>OK</v>
      </c>
      <c r="N186" s="12" t="str">
        <v>Experienced</v>
      </c>
      <c r="O186" s="12" t="str">
        <v>Metro</v>
      </c>
      <c r="P186" s="12" t="str">
        <v>Standard</v>
      </c>
      <c r="Q186" s="12" t="str">
        <v>Long-Term</v>
      </c>
      <c r="R186" s="12">
        <f t="shared" si="4"/>
        <v>9</v>
      </c>
      <c r="S186" s="12">
        <f t="shared" si="5"/>
        <v>4</v>
      </c>
      <c r="T186" s="12">
        <v>16136.6</v>
      </c>
      <c r="U186" s="12" t="str">
        <v>Earning ₹81k</v>
      </c>
      <c r="V186" s="12">
        <v>4246</v>
      </c>
      <c r="W186" s="12" t="str">
        <v>Review</v>
      </c>
    </row>
    <row r="187" spans="1:23" x14ac:dyDescent="0.3">
      <c r="A187" t="s">
        <v>193</v>
      </c>
      <c r="B187" t="s">
        <v>393</v>
      </c>
      <c r="C187" t="s">
        <v>411</v>
      </c>
      <c r="D187" t="s">
        <v>414</v>
      </c>
      <c r="E187">
        <v>17</v>
      </c>
      <c r="F187" t="s">
        <v>416</v>
      </c>
      <c r="G187">
        <v>69684</v>
      </c>
      <c r="H187" t="s">
        <v>421</v>
      </c>
      <c r="I187" s="12" t="str">
        <v>Eligible</v>
      </c>
      <c r="J187" s="12" t="str">
        <v>Senior Permanent</v>
      </c>
      <c r="K187" s="12" t="str">
        <v>General</v>
      </c>
      <c r="L187" s="12" t="str">
        <v>Regular</v>
      </c>
      <c r="M187" s="12" t="str">
        <v>OK</v>
      </c>
      <c r="N187" s="12" t="str">
        <v>Experienced</v>
      </c>
      <c r="O187" s="12" t="str">
        <v>Non-Metro</v>
      </c>
      <c r="P187" s="12" t="str">
        <v>Standard</v>
      </c>
      <c r="Q187" s="12" t="str">
        <v>Long-Term</v>
      </c>
      <c r="R187" s="12">
        <f t="shared" si="4"/>
        <v>8</v>
      </c>
      <c r="S187" s="12">
        <f t="shared" si="5"/>
        <v>4</v>
      </c>
      <c r="T187" s="12">
        <v>13936.800000000001</v>
      </c>
      <c r="U187" s="12" t="str">
        <v>Earning ₹70k</v>
      </c>
      <c r="V187" s="12">
        <v>4099</v>
      </c>
      <c r="W187" s="12" t="str">
        <v>Review</v>
      </c>
    </row>
    <row r="188" spans="1:23" x14ac:dyDescent="0.3">
      <c r="A188" t="s">
        <v>194</v>
      </c>
      <c r="B188" t="s">
        <v>394</v>
      </c>
      <c r="C188" t="s">
        <v>412</v>
      </c>
      <c r="D188" t="s">
        <v>413</v>
      </c>
      <c r="E188">
        <v>9</v>
      </c>
      <c r="F188" t="s">
        <v>417</v>
      </c>
      <c r="G188">
        <v>56226</v>
      </c>
      <c r="H188" t="s">
        <v>421</v>
      </c>
      <c r="I188" s="12" t="str">
        <v>Eligible</v>
      </c>
      <c r="J188" s="12" t="str">
        <v>Other</v>
      </c>
      <c r="K188" s="12" t="str">
        <v>Target Role</v>
      </c>
      <c r="L188" s="12" t="str">
        <v>Regular</v>
      </c>
      <c r="M188" s="12" t="str">
        <v>OK</v>
      </c>
      <c r="N188" s="12" t="str">
        <v>Junior</v>
      </c>
      <c r="O188" s="12" t="str">
        <v>Metro</v>
      </c>
      <c r="P188" s="12" t="str">
        <v>Standard</v>
      </c>
      <c r="Q188" s="12" t="str">
        <v>Mid/Short-Term</v>
      </c>
      <c r="R188" s="12">
        <f t="shared" si="4"/>
        <v>7</v>
      </c>
      <c r="S188" s="12">
        <f t="shared" si="5"/>
        <v>4</v>
      </c>
      <c r="T188" s="12">
        <v>11245.2</v>
      </c>
      <c r="U188" s="12" t="str">
        <v>Earning ₹56k</v>
      </c>
      <c r="V188" s="12">
        <v>6247</v>
      </c>
      <c r="W188" s="12" t="str">
        <v>Review</v>
      </c>
    </row>
    <row r="189" spans="1:23" x14ac:dyDescent="0.3">
      <c r="A189" t="s">
        <v>195</v>
      </c>
      <c r="B189" t="s">
        <v>395</v>
      </c>
      <c r="C189" t="s">
        <v>410</v>
      </c>
      <c r="D189" t="s">
        <v>414</v>
      </c>
      <c r="E189">
        <v>25</v>
      </c>
      <c r="F189" t="s">
        <v>416</v>
      </c>
      <c r="G189">
        <v>33577</v>
      </c>
      <c r="H189" t="s">
        <v>420</v>
      </c>
      <c r="I189" s="12" t="str">
        <v>Not Eligible</v>
      </c>
      <c r="J189" s="12" t="str">
        <v>Senior Permanent</v>
      </c>
      <c r="K189" s="12" t="str">
        <v>General</v>
      </c>
      <c r="L189" s="12" t="str">
        <v>Regular</v>
      </c>
      <c r="M189" s="12" t="str">
        <v>OK</v>
      </c>
      <c r="N189" s="12" t="str">
        <v>Experienced</v>
      </c>
      <c r="O189" s="12" t="str">
        <v>Non-Metro</v>
      </c>
      <c r="P189" s="12" t="str">
        <v>Standard</v>
      </c>
      <c r="Q189" s="12" t="str">
        <v>Long-Term</v>
      </c>
      <c r="R189" s="12">
        <f t="shared" si="4"/>
        <v>6</v>
      </c>
      <c r="S189" s="12">
        <f t="shared" si="5"/>
        <v>4</v>
      </c>
      <c r="T189" s="12">
        <v>0</v>
      </c>
      <c r="U189" s="12" t="str">
        <v>Earning ₹34k</v>
      </c>
      <c r="V189" s="12">
        <v>1343</v>
      </c>
      <c r="W189" s="12" t="str">
        <v>Review</v>
      </c>
    </row>
    <row r="190" spans="1:23" x14ac:dyDescent="0.3">
      <c r="A190" t="s">
        <v>196</v>
      </c>
      <c r="B190" t="s">
        <v>396</v>
      </c>
      <c r="C190" t="s">
        <v>412</v>
      </c>
      <c r="D190" t="s">
        <v>414</v>
      </c>
      <c r="E190">
        <v>19</v>
      </c>
      <c r="F190" t="s">
        <v>417</v>
      </c>
      <c r="G190">
        <v>31124</v>
      </c>
      <c r="H190" t="s">
        <v>421</v>
      </c>
      <c r="I190" s="12" t="str">
        <v>Eligible</v>
      </c>
      <c r="J190" s="12" t="str">
        <v>Senior Permanent</v>
      </c>
      <c r="K190" s="12" t="str">
        <v>Target Role</v>
      </c>
      <c r="L190" s="12" t="str">
        <v>Regular</v>
      </c>
      <c r="M190" s="12" t="str">
        <v>OK</v>
      </c>
      <c r="N190" s="12" t="str">
        <v>Experienced</v>
      </c>
      <c r="O190" s="12" t="str">
        <v>Metro</v>
      </c>
      <c r="P190" s="12" t="str">
        <v>Standard</v>
      </c>
      <c r="Q190" s="12" t="str">
        <v>Long-Term</v>
      </c>
      <c r="R190" s="12">
        <f t="shared" si="4"/>
        <v>6</v>
      </c>
      <c r="S190" s="12">
        <f t="shared" si="5"/>
        <v>4</v>
      </c>
      <c r="T190" s="12">
        <v>6224.8</v>
      </c>
      <c r="U190" s="12" t="str">
        <v>Earning ₹31k</v>
      </c>
      <c r="V190" s="12">
        <v>1638</v>
      </c>
      <c r="W190" s="12" t="str">
        <v>Review</v>
      </c>
    </row>
    <row r="191" spans="1:23" x14ac:dyDescent="0.3">
      <c r="A191" t="s">
        <v>197</v>
      </c>
      <c r="B191" t="s">
        <v>397</v>
      </c>
      <c r="C191" t="s">
        <v>410</v>
      </c>
      <c r="D191" t="s">
        <v>414</v>
      </c>
      <c r="E191">
        <v>29</v>
      </c>
      <c r="F191" t="s">
        <v>418</v>
      </c>
      <c r="G191">
        <v>137801</v>
      </c>
      <c r="H191" t="s">
        <v>421</v>
      </c>
      <c r="I191" s="12" t="str">
        <v>Eligible</v>
      </c>
      <c r="J191" s="12" t="str">
        <v>Senior Permanent</v>
      </c>
      <c r="K191" s="12" t="str">
        <v>General</v>
      </c>
      <c r="L191" s="12" t="str">
        <v>High Earner</v>
      </c>
      <c r="M191" s="12" t="str">
        <v>OK</v>
      </c>
      <c r="N191" s="12" t="str">
        <v>Experienced</v>
      </c>
      <c r="O191" s="12" t="str">
        <v>Non-Metro</v>
      </c>
      <c r="P191" s="12" t="str">
        <v>Standard</v>
      </c>
      <c r="Q191" s="12" t="str">
        <v>Long-Term</v>
      </c>
      <c r="R191" s="12">
        <f t="shared" si="4"/>
        <v>5</v>
      </c>
      <c r="S191" s="12">
        <f t="shared" si="5"/>
        <v>4</v>
      </c>
      <c r="T191" s="12">
        <v>27560.2</v>
      </c>
      <c r="U191" s="12" t="str">
        <v>Earning ₹138k</v>
      </c>
      <c r="V191" s="12">
        <v>4752</v>
      </c>
      <c r="W191" s="12" t="str">
        <v>Promotable</v>
      </c>
    </row>
    <row r="192" spans="1:23" x14ac:dyDescent="0.3">
      <c r="A192" t="s">
        <v>198</v>
      </c>
      <c r="B192" t="s">
        <v>398</v>
      </c>
      <c r="C192" t="s">
        <v>409</v>
      </c>
      <c r="D192" t="s">
        <v>413</v>
      </c>
      <c r="E192">
        <v>12</v>
      </c>
      <c r="F192" t="s">
        <v>416</v>
      </c>
      <c r="G192">
        <v>106907</v>
      </c>
      <c r="H192" t="s">
        <v>420</v>
      </c>
      <c r="I192" s="12" t="str">
        <v>Not Eligible</v>
      </c>
      <c r="J192" s="12" t="str">
        <v>Other</v>
      </c>
      <c r="K192" s="12" t="str">
        <v>General</v>
      </c>
      <c r="L192" s="12" t="str">
        <v>High Earner</v>
      </c>
      <c r="M192" s="12" t="str">
        <v>OK</v>
      </c>
      <c r="N192" s="12" t="str">
        <v>Experienced</v>
      </c>
      <c r="O192" s="12" t="str">
        <v>Non-Metro</v>
      </c>
      <c r="P192" s="12" t="str">
        <v>Standard</v>
      </c>
      <c r="Q192" s="12" t="str">
        <v>Mid/Short-Term</v>
      </c>
      <c r="R192" s="12">
        <f t="shared" si="4"/>
        <v>4</v>
      </c>
      <c r="S192" s="12">
        <f t="shared" si="5"/>
        <v>3</v>
      </c>
      <c r="T192" s="12">
        <v>0</v>
      </c>
      <c r="U192" s="12" t="str">
        <v>Earning ₹107k</v>
      </c>
      <c r="V192" s="12">
        <v>8909</v>
      </c>
      <c r="W192" s="12" t="str">
        <v>Promotable</v>
      </c>
    </row>
    <row r="193" spans="1:23" x14ac:dyDescent="0.3">
      <c r="A193" t="s">
        <v>199</v>
      </c>
      <c r="B193" t="s">
        <v>399</v>
      </c>
      <c r="C193" t="s">
        <v>411</v>
      </c>
      <c r="D193" t="s">
        <v>414</v>
      </c>
      <c r="E193">
        <v>24</v>
      </c>
      <c r="F193" t="s">
        <v>417</v>
      </c>
      <c r="G193">
        <v>147531</v>
      </c>
      <c r="H193" t="s">
        <v>420</v>
      </c>
      <c r="I193" s="12" t="str">
        <v>Not Eligible</v>
      </c>
      <c r="J193" s="12" t="str">
        <v>Senior Permanent</v>
      </c>
      <c r="K193" s="12" t="str">
        <v>Target Role</v>
      </c>
      <c r="L193" s="12" t="str">
        <v>High Earner</v>
      </c>
      <c r="M193" s="12" t="str">
        <v>OK</v>
      </c>
      <c r="N193" s="12" t="str">
        <v>Experienced</v>
      </c>
      <c r="O193" s="12" t="str">
        <v>Metro</v>
      </c>
      <c r="P193" s="12" t="str">
        <v>Standard</v>
      </c>
      <c r="Q193" s="12" t="str">
        <v>Long-Term</v>
      </c>
      <c r="R193" s="12">
        <f t="shared" si="4"/>
        <v>4</v>
      </c>
      <c r="S193" s="12">
        <f t="shared" si="5"/>
        <v>3</v>
      </c>
      <c r="T193" s="12">
        <v>0</v>
      </c>
      <c r="U193" s="12" t="str">
        <v>Earning ₹148k</v>
      </c>
      <c r="V193" s="12">
        <v>6147</v>
      </c>
      <c r="W193" s="12" t="str">
        <v>Promotable</v>
      </c>
    </row>
    <row r="194" spans="1:23" x14ac:dyDescent="0.3">
      <c r="A194" t="s">
        <v>200</v>
      </c>
      <c r="B194" t="s">
        <v>400</v>
      </c>
      <c r="C194" t="s">
        <v>409</v>
      </c>
      <c r="D194" t="s">
        <v>413</v>
      </c>
      <c r="E194">
        <v>21</v>
      </c>
      <c r="F194" t="s">
        <v>415</v>
      </c>
      <c r="G194">
        <v>95868</v>
      </c>
      <c r="I194" s="12" t="str">
        <v>Not Eligible</v>
      </c>
      <c r="J194" s="12" t="str">
        <v>Other</v>
      </c>
      <c r="K194" s="12" t="str">
        <v>General</v>
      </c>
      <c r="L194" s="12" t="str">
        <v>Regular</v>
      </c>
      <c r="M194" s="12" t="str">
        <v>Pending Info</v>
      </c>
      <c r="N194" s="12" t="str">
        <v>Experienced</v>
      </c>
      <c r="O194" s="12" t="str">
        <v>Metro</v>
      </c>
      <c r="P194" s="12" t="str">
        <v>Standard</v>
      </c>
      <c r="Q194" s="12" t="str">
        <v>Long-Term</v>
      </c>
      <c r="R194" s="12">
        <f t="shared" si="4"/>
        <v>4</v>
      </c>
      <c r="S194" s="12">
        <f t="shared" si="5"/>
        <v>2</v>
      </c>
      <c r="T194" s="12">
        <v>0</v>
      </c>
      <c r="U194" s="12" t="str">
        <v>Earning ₹96k</v>
      </c>
      <c r="V194" s="12">
        <v>4565</v>
      </c>
      <c r="W194" s="12" t="str">
        <v>Promotable</v>
      </c>
    </row>
    <row r="195" spans="1:23" x14ac:dyDescent="0.3">
      <c r="A195" t="s">
        <v>201</v>
      </c>
      <c r="B195" t="s">
        <v>401</v>
      </c>
      <c r="C195" t="s">
        <v>412</v>
      </c>
      <c r="D195" t="s">
        <v>413</v>
      </c>
      <c r="E195">
        <v>0</v>
      </c>
      <c r="F195" t="s">
        <v>416</v>
      </c>
      <c r="G195">
        <v>29851</v>
      </c>
      <c r="H195" t="s">
        <v>420</v>
      </c>
      <c r="I195" s="12" t="str">
        <v>Not Eligible</v>
      </c>
      <c r="J195" s="12" t="str">
        <v>Other</v>
      </c>
      <c r="K195" s="12" t="str">
        <v>General</v>
      </c>
      <c r="L195" s="12" t="str">
        <v>Regular</v>
      </c>
      <c r="M195" s="12" t="str">
        <v>OK</v>
      </c>
      <c r="N195" s="12" t="str">
        <v>Junior</v>
      </c>
      <c r="O195" s="12" t="str">
        <v>Non-Metro</v>
      </c>
      <c r="P195" s="12" t="str">
        <v>Low-Pay Contract</v>
      </c>
      <c r="Q195" s="12" t="str">
        <v>Mid/Short-Term</v>
      </c>
      <c r="R195" s="12">
        <f t="shared" ref="R195:R201" si="6">COUNTIF(H195:H394,"Yes")</f>
        <v>4</v>
      </c>
      <c r="S195" s="12">
        <f t="shared" ref="S195:S201" si="7">COUNTIFS(D195:D394,"Permanent",G195:G394,"&gt;75000")</f>
        <v>2</v>
      </c>
      <c r="T195" s="12">
        <v>0</v>
      </c>
      <c r="U195" s="12" t="str">
        <v>Earning ₹30k</v>
      </c>
      <c r="V195" s="12" t="str">
        <v>Check Data</v>
      </c>
      <c r="W195" s="12" t="str">
        <v>Review</v>
      </c>
    </row>
    <row r="196" spans="1:23" x14ac:dyDescent="0.3">
      <c r="A196" t="s">
        <v>202</v>
      </c>
      <c r="B196" t="s">
        <v>402</v>
      </c>
      <c r="C196" t="s">
        <v>409</v>
      </c>
      <c r="D196" t="s">
        <v>413</v>
      </c>
      <c r="E196">
        <v>17</v>
      </c>
      <c r="F196" t="s">
        <v>415</v>
      </c>
      <c r="G196">
        <v>37593</v>
      </c>
      <c r="H196" t="s">
        <v>420</v>
      </c>
      <c r="I196" s="12" t="str">
        <v>Not Eligible</v>
      </c>
      <c r="J196" s="12" t="str">
        <v>Other</v>
      </c>
      <c r="K196" s="12" t="str">
        <v>General</v>
      </c>
      <c r="L196" s="12" t="str">
        <v>Regular</v>
      </c>
      <c r="M196" s="12" t="str">
        <v>OK</v>
      </c>
      <c r="N196" s="12" t="str">
        <v>Experienced</v>
      </c>
      <c r="O196" s="12" t="str">
        <v>Metro</v>
      </c>
      <c r="P196" s="12" t="str">
        <v>Low-Pay Contract</v>
      </c>
      <c r="Q196" s="12" t="str">
        <v>Long-Term</v>
      </c>
      <c r="R196" s="12">
        <f t="shared" si="6"/>
        <v>4</v>
      </c>
      <c r="S196" s="12">
        <f t="shared" si="7"/>
        <v>2</v>
      </c>
      <c r="T196" s="12">
        <v>0</v>
      </c>
      <c r="U196" s="12" t="str">
        <v>Earning ₹38k</v>
      </c>
      <c r="V196" s="12">
        <v>2211</v>
      </c>
      <c r="W196" s="12" t="str">
        <v>Review</v>
      </c>
    </row>
    <row r="197" spans="1:23" x14ac:dyDescent="0.3">
      <c r="A197" t="s">
        <v>203</v>
      </c>
      <c r="B197" t="s">
        <v>403</v>
      </c>
      <c r="C197" t="s">
        <v>412</v>
      </c>
      <c r="D197" t="s">
        <v>414</v>
      </c>
      <c r="E197">
        <v>28</v>
      </c>
      <c r="F197" t="s">
        <v>417</v>
      </c>
      <c r="G197">
        <v>132357</v>
      </c>
      <c r="H197" t="s">
        <v>421</v>
      </c>
      <c r="I197" s="12" t="str">
        <v>Eligible</v>
      </c>
      <c r="J197" s="12" t="str">
        <v>Senior Permanent</v>
      </c>
      <c r="K197" s="12" t="str">
        <v>Target Role</v>
      </c>
      <c r="L197" s="12" t="str">
        <v>High Earner</v>
      </c>
      <c r="M197" s="12" t="str">
        <v>OK</v>
      </c>
      <c r="N197" s="12" t="str">
        <v>Experienced</v>
      </c>
      <c r="O197" s="12" t="str">
        <v>Metro</v>
      </c>
      <c r="P197" s="12" t="str">
        <v>Standard</v>
      </c>
      <c r="Q197" s="12" t="str">
        <v>Long-Term</v>
      </c>
      <c r="R197" s="12">
        <f t="shared" si="6"/>
        <v>4</v>
      </c>
      <c r="S197" s="12">
        <f t="shared" si="7"/>
        <v>2</v>
      </c>
      <c r="T197" s="12">
        <v>26471.4</v>
      </c>
      <c r="U197" s="12" t="str">
        <v>Earning ₹132k</v>
      </c>
      <c r="V197" s="12">
        <v>4727</v>
      </c>
      <c r="W197" s="12" t="str">
        <v>Promotable</v>
      </c>
    </row>
    <row r="198" spans="1:23" x14ac:dyDescent="0.3">
      <c r="A198" t="s">
        <v>204</v>
      </c>
      <c r="B198" t="s">
        <v>404</v>
      </c>
      <c r="C198" t="s">
        <v>411</v>
      </c>
      <c r="D198" t="s">
        <v>413</v>
      </c>
      <c r="E198">
        <v>10</v>
      </c>
      <c r="F198" t="s">
        <v>416</v>
      </c>
      <c r="G198">
        <v>79550</v>
      </c>
      <c r="I198" s="12" t="str">
        <v>Not Eligible</v>
      </c>
      <c r="J198" s="12" t="str">
        <v>Other</v>
      </c>
      <c r="K198" s="12" t="str">
        <v>General</v>
      </c>
      <c r="L198" s="12" t="str">
        <v>Regular</v>
      </c>
      <c r="M198" s="12" t="str">
        <v>Pending Info</v>
      </c>
      <c r="N198" s="12" t="str">
        <v>Junior</v>
      </c>
      <c r="O198" s="12" t="str">
        <v>Non-Metro</v>
      </c>
      <c r="P198" s="12" t="str">
        <v>Standard</v>
      </c>
      <c r="Q198" s="12" t="str">
        <v>Mid/Short-Term</v>
      </c>
      <c r="R198" s="12">
        <f t="shared" si="6"/>
        <v>3</v>
      </c>
      <c r="S198" s="12">
        <f t="shared" si="7"/>
        <v>1</v>
      </c>
      <c r="T198" s="12">
        <v>0</v>
      </c>
      <c r="U198" s="12" t="str">
        <v>Earning ₹80k</v>
      </c>
      <c r="V198" s="12">
        <v>7955</v>
      </c>
      <c r="W198" s="12" t="str">
        <v>Review</v>
      </c>
    </row>
    <row r="199" spans="1:23" x14ac:dyDescent="0.3">
      <c r="A199" t="s">
        <v>205</v>
      </c>
      <c r="B199" t="s">
        <v>405</v>
      </c>
      <c r="C199" t="s">
        <v>408</v>
      </c>
      <c r="D199" t="s">
        <v>413</v>
      </c>
      <c r="E199">
        <v>17</v>
      </c>
      <c r="F199" t="s">
        <v>415</v>
      </c>
      <c r="G199">
        <v>129223</v>
      </c>
      <c r="H199" t="s">
        <v>421</v>
      </c>
      <c r="I199" s="12" t="str">
        <v>Eligible</v>
      </c>
      <c r="J199" s="12" t="str">
        <v>Other</v>
      </c>
      <c r="K199" s="12" t="str">
        <v>Target Role</v>
      </c>
      <c r="L199" s="12" t="str">
        <v>High Earner</v>
      </c>
      <c r="M199" s="12" t="str">
        <v>OK</v>
      </c>
      <c r="N199" s="12" t="str">
        <v>Experienced</v>
      </c>
      <c r="O199" s="12" t="str">
        <v>Metro</v>
      </c>
      <c r="P199" s="12" t="str">
        <v>Standard</v>
      </c>
      <c r="Q199" s="12" t="str">
        <v>Long-Term</v>
      </c>
      <c r="R199" s="12">
        <f t="shared" si="6"/>
        <v>3</v>
      </c>
      <c r="S199" s="12">
        <f t="shared" si="7"/>
        <v>1</v>
      </c>
      <c r="T199" s="12">
        <v>25844.600000000002</v>
      </c>
      <c r="U199" s="12" t="str">
        <v>Earning ₹129k</v>
      </c>
      <c r="V199" s="12">
        <v>7601</v>
      </c>
      <c r="W199" s="12" t="str">
        <v>Promotable</v>
      </c>
    </row>
    <row r="200" spans="1:23" x14ac:dyDescent="0.3">
      <c r="A200" t="s">
        <v>206</v>
      </c>
      <c r="B200" t="s">
        <v>406</v>
      </c>
      <c r="C200" t="s">
        <v>409</v>
      </c>
      <c r="D200" t="s">
        <v>414</v>
      </c>
      <c r="E200">
        <v>29</v>
      </c>
      <c r="F200" t="s">
        <v>416</v>
      </c>
      <c r="G200">
        <v>141678</v>
      </c>
      <c r="H200" t="s">
        <v>421</v>
      </c>
      <c r="I200" s="12" t="str">
        <v>Eligible</v>
      </c>
      <c r="J200" s="12" t="str">
        <v>Senior Permanent</v>
      </c>
      <c r="K200" s="12" t="str">
        <v>General</v>
      </c>
      <c r="L200" s="12" t="str">
        <v>High Earner</v>
      </c>
      <c r="M200" s="12" t="str">
        <v>OK</v>
      </c>
      <c r="N200" s="12" t="str">
        <v>Experienced</v>
      </c>
      <c r="O200" s="12" t="str">
        <v>Non-Metro</v>
      </c>
      <c r="P200" s="12" t="str">
        <v>Standard</v>
      </c>
      <c r="Q200" s="12" t="str">
        <v>Long-Term</v>
      </c>
      <c r="R200" s="12">
        <f t="shared" si="6"/>
        <v>2</v>
      </c>
      <c r="S200" s="12">
        <f t="shared" si="7"/>
        <v>1</v>
      </c>
      <c r="T200" s="12">
        <v>28335.600000000002</v>
      </c>
      <c r="U200" s="12" t="str">
        <v>Earning ₹142k</v>
      </c>
      <c r="V200" s="12">
        <v>4885</v>
      </c>
      <c r="W200" s="12" t="str">
        <v>Promotable</v>
      </c>
    </row>
    <row r="201" spans="1:23" x14ac:dyDescent="0.3">
      <c r="A201" t="s">
        <v>207</v>
      </c>
      <c r="B201" t="s">
        <v>407</v>
      </c>
      <c r="C201" t="s">
        <v>408</v>
      </c>
      <c r="D201" t="s">
        <v>413</v>
      </c>
      <c r="E201">
        <v>21</v>
      </c>
      <c r="F201" t="s">
        <v>417</v>
      </c>
      <c r="G201">
        <v>110310</v>
      </c>
      <c r="H201" t="s">
        <v>421</v>
      </c>
      <c r="I201" s="12" t="str">
        <v>Eligible</v>
      </c>
      <c r="J201" s="12" t="str">
        <v>Other</v>
      </c>
      <c r="K201" s="12" t="str">
        <v>Target Role</v>
      </c>
      <c r="L201" s="12" t="str">
        <v>High Earner</v>
      </c>
      <c r="M201" s="12" t="str">
        <v>OK</v>
      </c>
      <c r="N201" s="12" t="str">
        <v>Experienced</v>
      </c>
      <c r="O201" s="12" t="str">
        <v>Metro</v>
      </c>
      <c r="P201" s="12" t="str">
        <v>Standard</v>
      </c>
      <c r="Q201" s="12" t="str">
        <v>Long-Term</v>
      </c>
      <c r="R201" s="12">
        <f t="shared" si="6"/>
        <v>1</v>
      </c>
      <c r="S201" s="12">
        <f t="shared" si="7"/>
        <v>0</v>
      </c>
      <c r="T201" s="12">
        <v>22062</v>
      </c>
      <c r="U201" s="12" t="str">
        <v>Earning ₹110k</v>
      </c>
      <c r="V201" s="12">
        <v>5253</v>
      </c>
      <c r="W201" s="12" t="str">
        <v>Promotable</v>
      </c>
    </row>
    <row r="202" spans="1:23" x14ac:dyDescent="0.3">
      <c r="R202" s="12"/>
    </row>
    <row r="203" spans="1:23" x14ac:dyDescent="0.3">
      <c r="R203" s="12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6D62-10BC-413C-B223-97045C83565A}">
  <dimension ref="B3:D18"/>
  <sheetViews>
    <sheetView workbookViewId="0">
      <selection activeCell="C27" sqref="C27"/>
    </sheetView>
  </sheetViews>
  <sheetFormatPr defaultRowHeight="14.4" x14ac:dyDescent="0.3"/>
  <cols>
    <col min="2" max="2" width="6.33203125" style="2" bestFit="1" customWidth="1"/>
    <col min="3" max="3" width="143.77734375" style="2" bestFit="1" customWidth="1"/>
  </cols>
  <sheetData>
    <row r="3" spans="2:4" x14ac:dyDescent="0.3">
      <c r="B3" s="10" t="s">
        <v>453</v>
      </c>
      <c r="C3" s="10" t="s">
        <v>433</v>
      </c>
      <c r="D3" s="11"/>
    </row>
    <row r="4" spans="2:4" x14ac:dyDescent="0.3">
      <c r="B4" s="3">
        <v>1</v>
      </c>
      <c r="C4" s="4" t="s">
        <v>434</v>
      </c>
      <c r="D4" s="5"/>
    </row>
    <row r="5" spans="2:4" x14ac:dyDescent="0.3">
      <c r="B5" s="3">
        <v>2</v>
      </c>
      <c r="C5" s="4" t="s">
        <v>422</v>
      </c>
      <c r="D5" s="5"/>
    </row>
    <row r="6" spans="2:4" x14ac:dyDescent="0.3">
      <c r="B6" s="3">
        <v>3</v>
      </c>
      <c r="C6" s="4" t="s">
        <v>423</v>
      </c>
      <c r="D6" s="5"/>
    </row>
    <row r="7" spans="2:4" x14ac:dyDescent="0.3">
      <c r="B7" s="3">
        <v>4</v>
      </c>
      <c r="C7" s="4" t="s">
        <v>424</v>
      </c>
      <c r="D7" s="5"/>
    </row>
    <row r="8" spans="2:4" x14ac:dyDescent="0.3">
      <c r="B8" s="3">
        <v>5</v>
      </c>
      <c r="C8" s="4" t="s">
        <v>425</v>
      </c>
      <c r="D8" s="5"/>
    </row>
    <row r="9" spans="2:4" x14ac:dyDescent="0.3">
      <c r="B9" s="3">
        <v>6</v>
      </c>
      <c r="C9" s="4" t="s">
        <v>435</v>
      </c>
      <c r="D9" s="5"/>
    </row>
    <row r="10" spans="2:4" x14ac:dyDescent="0.3">
      <c r="B10" s="3">
        <v>7</v>
      </c>
      <c r="C10" s="4" t="s">
        <v>426</v>
      </c>
      <c r="D10" s="5"/>
    </row>
    <row r="11" spans="2:4" x14ac:dyDescent="0.3">
      <c r="B11" s="3">
        <v>8</v>
      </c>
      <c r="C11" s="4" t="s">
        <v>436</v>
      </c>
      <c r="D11" s="5"/>
    </row>
    <row r="12" spans="2:4" x14ac:dyDescent="0.3">
      <c r="B12" s="3">
        <v>9</v>
      </c>
      <c r="C12" s="4" t="s">
        <v>437</v>
      </c>
      <c r="D12" s="5"/>
    </row>
    <row r="13" spans="2:4" x14ac:dyDescent="0.3">
      <c r="B13" s="3">
        <v>10</v>
      </c>
      <c r="C13" s="4" t="s">
        <v>427</v>
      </c>
      <c r="D13" s="5"/>
    </row>
    <row r="14" spans="2:4" x14ac:dyDescent="0.3">
      <c r="B14" s="3">
        <v>11</v>
      </c>
      <c r="C14" s="4" t="s">
        <v>428</v>
      </c>
      <c r="D14" s="5"/>
    </row>
    <row r="15" spans="2:4" x14ac:dyDescent="0.3">
      <c r="B15" s="3">
        <v>12</v>
      </c>
      <c r="C15" s="4" t="s">
        <v>429</v>
      </c>
      <c r="D15" s="5"/>
    </row>
    <row r="16" spans="2:4" x14ac:dyDescent="0.3">
      <c r="B16" s="3">
        <v>13</v>
      </c>
      <c r="C16" s="4" t="s">
        <v>430</v>
      </c>
      <c r="D16" s="5"/>
    </row>
    <row r="17" spans="2:4" x14ac:dyDescent="0.3">
      <c r="B17" s="3">
        <v>14</v>
      </c>
      <c r="C17" s="4" t="s">
        <v>431</v>
      </c>
      <c r="D17" s="5"/>
    </row>
    <row r="18" spans="2:4" x14ac:dyDescent="0.3">
      <c r="B18" s="6">
        <v>15</v>
      </c>
      <c r="C18" s="7" t="s">
        <v>432</v>
      </c>
      <c r="D1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gupta</dc:creator>
  <cp:lastModifiedBy>a gupta</cp:lastModifiedBy>
  <dcterms:created xsi:type="dcterms:W3CDTF">2025-07-25T08:35:12Z</dcterms:created>
  <dcterms:modified xsi:type="dcterms:W3CDTF">2025-11-05T07:47:38Z</dcterms:modified>
</cp:coreProperties>
</file>