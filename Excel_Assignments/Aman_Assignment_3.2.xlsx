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ssignments\Excel_work\"/>
    </mc:Choice>
  </mc:AlternateContent>
  <xr:revisionPtr revIDLastSave="0" documentId="8_{EC8EB75A-127B-4C32-930B-DAB268FA5588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Statement" sheetId="3" r:id="rId1"/>
    <sheet name="Youtube" sheetId="1" r:id="rId2"/>
    <sheet name="Question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8" i="2" l="1"/>
  <c r="D17" i="2"/>
  <c r="D16" i="2"/>
  <c r="D15" i="2"/>
  <c r="D14" i="2"/>
  <c r="D13" i="2"/>
  <c r="D12" i="2"/>
  <c r="D10" i="2"/>
  <c r="D9" i="2"/>
  <c r="D8" i="2"/>
  <c r="D7" i="2"/>
  <c r="D6" i="2"/>
  <c r="D5" i="2"/>
  <c r="D4" i="2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2" i="1"/>
</calcChain>
</file>

<file path=xl/sharedStrings.xml><?xml version="1.0" encoding="utf-8"?>
<sst xmlns="http://schemas.openxmlformats.org/spreadsheetml/2006/main" count="549" uniqueCount="312">
  <si>
    <t>Sr No.</t>
  </si>
  <si>
    <t>Channel Name</t>
  </si>
  <si>
    <t>Category</t>
  </si>
  <si>
    <t>Launch Year</t>
  </si>
  <si>
    <t>Subscribers (M)</t>
  </si>
  <si>
    <t>Videos Uploaded</t>
  </si>
  <si>
    <t>Total Views (M)</t>
  </si>
  <si>
    <t>Slayy Point</t>
  </si>
  <si>
    <t>Technical Guruji</t>
  </si>
  <si>
    <t>MyMissAnand</t>
  </si>
  <si>
    <t>Amit Bhadana</t>
  </si>
  <si>
    <t>Flying Beast</t>
  </si>
  <si>
    <t>CarryMinati</t>
  </si>
  <si>
    <t>Mumbiker Nikhil</t>
  </si>
  <si>
    <t>Learnex - English Lessons</t>
  </si>
  <si>
    <t>Ashish Chanchlani Vines</t>
  </si>
  <si>
    <t>Village Cooking Channel</t>
  </si>
  <si>
    <t>CookingShooking</t>
  </si>
  <si>
    <t>Aaj Tak</t>
  </si>
  <si>
    <t>Sandeep Maheshwari</t>
  </si>
  <si>
    <t>BB Ki Vines</t>
  </si>
  <si>
    <t>Triggered Insaan</t>
  </si>
  <si>
    <t>Sony SAB</t>
  </si>
  <si>
    <t>FactTechz</t>
  </si>
  <si>
    <t>ABP News</t>
  </si>
  <si>
    <t>Zee Music Company</t>
  </si>
  <si>
    <t>T-Series</t>
  </si>
  <si>
    <t>MrBeast</t>
  </si>
  <si>
    <t>Cocomelon - Nursery Rhymes</t>
  </si>
  <si>
    <t>SET India</t>
  </si>
  <si>
    <t>PewDiePie</t>
  </si>
  <si>
    <t>Like Nastya</t>
  </si>
  <si>
    <t>Kids Diana Show</t>
  </si>
  <si>
    <t>WWE</t>
  </si>
  <si>
    <t>5-Minute Crafts</t>
  </si>
  <si>
    <t>Vlad and Niki</t>
  </si>
  <si>
    <t>BLACKPINK</t>
  </si>
  <si>
    <t>Justin Bieber</t>
  </si>
  <si>
    <t>Marshmello</t>
  </si>
  <si>
    <t>TED-Ed</t>
  </si>
  <si>
    <t>Veritasium</t>
  </si>
  <si>
    <t>Mark Rober</t>
  </si>
  <si>
    <t>NASA</t>
  </si>
  <si>
    <t>BBC News</t>
  </si>
  <si>
    <t>Dude Perfect</t>
  </si>
  <si>
    <t>The Ellen Show</t>
  </si>
  <si>
    <t>Zee World</t>
  </si>
  <si>
    <t>Troom Troom</t>
  </si>
  <si>
    <t>LooLoo Kids</t>
  </si>
  <si>
    <t>Shemaroo Filmi Gaane</t>
  </si>
  <si>
    <t>BANGTANTV</t>
  </si>
  <si>
    <t>Netflix</t>
  </si>
  <si>
    <t>The Tonight Show</t>
  </si>
  <si>
    <t>Nickelodeon</t>
  </si>
  <si>
    <t>National Geographic</t>
  </si>
  <si>
    <t>CNN</t>
  </si>
  <si>
    <t>Tasty</t>
  </si>
  <si>
    <t>The Infographics Show</t>
  </si>
  <si>
    <t>Chris Ramsay</t>
  </si>
  <si>
    <t>Kurzgesagt – In a Nutshell</t>
  </si>
  <si>
    <t>Brave Wilderness</t>
  </si>
  <si>
    <t>James Charles</t>
  </si>
  <si>
    <t>The Slow Mo Guys</t>
  </si>
  <si>
    <t>Emma Chamberlain</t>
  </si>
  <si>
    <t>Good Mythical Morning</t>
  </si>
  <si>
    <t>The Try Guys</t>
  </si>
  <si>
    <t>Supercar Blondie</t>
  </si>
  <si>
    <t>Linus Tech Tips</t>
  </si>
  <si>
    <t>JRE Clips</t>
  </si>
  <si>
    <t>Yes Theory</t>
  </si>
  <si>
    <t>Gordon Ramsay</t>
  </si>
  <si>
    <t>Zach King</t>
  </si>
  <si>
    <t>HowToBasic</t>
  </si>
  <si>
    <t>Lana Del Rey</t>
  </si>
  <si>
    <t>Billie Eilish</t>
  </si>
  <si>
    <t>Dwayne Johnson</t>
  </si>
  <si>
    <t>Casey Neistat</t>
  </si>
  <si>
    <t>Entertainment</t>
  </si>
  <si>
    <t>Tech</t>
  </si>
  <si>
    <t>Lifestyle</t>
  </si>
  <si>
    <t>Comedy</t>
  </si>
  <si>
    <t>Vlogs</t>
  </si>
  <si>
    <t>Education</t>
  </si>
  <si>
    <t>Food</t>
  </si>
  <si>
    <t>News</t>
  </si>
  <si>
    <t>Motivation</t>
  </si>
  <si>
    <t>Music</t>
  </si>
  <si>
    <t>Kids</t>
  </si>
  <si>
    <t>Gaming</t>
  </si>
  <si>
    <t>Sports</t>
  </si>
  <si>
    <t>DIY</t>
  </si>
  <si>
    <t>Science</t>
  </si>
  <si>
    <t>Wildlife</t>
  </si>
  <si>
    <t>Beauty</t>
  </si>
  <si>
    <t>Automobile</t>
  </si>
  <si>
    <t>Podcast</t>
  </si>
  <si>
    <t>Adventure</t>
  </si>
  <si>
    <t>Fitness</t>
  </si>
  <si>
    <t>Neha Kakkar</t>
  </si>
  <si>
    <t>Sanam</t>
  </si>
  <si>
    <t>Nisha Madhulika</t>
  </si>
  <si>
    <t>Kabita's Kitchen</t>
  </si>
  <si>
    <t>The Viral Fever</t>
  </si>
  <si>
    <t>FilterCopy</t>
  </si>
  <si>
    <t>RVCJ Media</t>
  </si>
  <si>
    <t>Being Indian</t>
  </si>
  <si>
    <t>BeerBiceps</t>
  </si>
  <si>
    <t>Fit Tuber</t>
  </si>
  <si>
    <t>Madras Samayal</t>
  </si>
  <si>
    <t>Village Food Factory</t>
  </si>
  <si>
    <t>Food Fatafat</t>
  </si>
  <si>
    <t>Gaurav Chaudhary</t>
  </si>
  <si>
    <t>Techno Ruhez</t>
  </si>
  <si>
    <t>Geekyranjit</t>
  </si>
  <si>
    <t>Trakin Tech</t>
  </si>
  <si>
    <t>Tech Burner</t>
  </si>
  <si>
    <t>A2 Motivation</t>
  </si>
  <si>
    <t>Josh Talks</t>
  </si>
  <si>
    <t>Study IQ Education</t>
  </si>
  <si>
    <t>Unacademy</t>
  </si>
  <si>
    <t>BYJU'S</t>
  </si>
  <si>
    <t>Wifistudy</t>
  </si>
  <si>
    <t>Examपुर</t>
  </si>
  <si>
    <t>Let's Learn</t>
  </si>
  <si>
    <t>Teacher's Adda</t>
  </si>
  <si>
    <t>Arvind Arora</t>
  </si>
  <si>
    <t>Physics Wallah</t>
  </si>
  <si>
    <t>Mahindra Guru</t>
  </si>
  <si>
    <t>Drishti IAS</t>
  </si>
  <si>
    <t>Kreatryx GATE</t>
  </si>
  <si>
    <t>IAS Baba</t>
  </si>
  <si>
    <t>Ankita Mam</t>
  </si>
  <si>
    <t>Mrunal</t>
  </si>
  <si>
    <t>Sleepy Classes</t>
  </si>
  <si>
    <t>Let's Crack UPSC CSE</t>
  </si>
  <si>
    <t>Crack GK</t>
  </si>
  <si>
    <t>Defense Squad</t>
  </si>
  <si>
    <t>Funcho</t>
  </si>
  <si>
    <t>Half Engineer</t>
  </si>
  <si>
    <t>The Screen Patti</t>
  </si>
  <si>
    <t>TSP</t>
  </si>
  <si>
    <t>Old Delhi Films</t>
  </si>
  <si>
    <t>Elvish Yadav</t>
  </si>
  <si>
    <t>Round2hell</t>
  </si>
  <si>
    <t>Harsh Beniwal</t>
  </si>
  <si>
    <t>Jkk Entertainment</t>
  </si>
  <si>
    <t>BakLol Video</t>
  </si>
  <si>
    <t>The MriDul</t>
  </si>
  <si>
    <t>The Aman Show</t>
  </si>
  <si>
    <t>Desi Gamers</t>
  </si>
  <si>
    <t>Lokesh Gamer</t>
  </si>
  <si>
    <t>Total Gaming</t>
  </si>
  <si>
    <t>Gyan Gaming</t>
  </si>
  <si>
    <t>Alpha Clasher</t>
  </si>
  <si>
    <t>Mythpat</t>
  </si>
  <si>
    <t>Scout</t>
  </si>
  <si>
    <t>Mortal</t>
  </si>
  <si>
    <t>Dynamo Gaming</t>
  </si>
  <si>
    <t>CarryisLive</t>
  </si>
  <si>
    <t>Mahi Vlogs</t>
  </si>
  <si>
    <t>RJ Abhinav</t>
  </si>
  <si>
    <t>Factified</t>
  </si>
  <si>
    <t>FactIndia</t>
  </si>
  <si>
    <t>Anaysa</t>
  </si>
  <si>
    <t>Blush</t>
  </si>
  <si>
    <t>POPxo</t>
  </si>
  <si>
    <t>Little Glove</t>
  </si>
  <si>
    <t>T-Series Bhakti</t>
  </si>
  <si>
    <t>T-Series Apna Punjab</t>
  </si>
  <si>
    <t>Zee Kids</t>
  </si>
  <si>
    <t>Dr Vivek Bindra: Motivational Speaker</t>
  </si>
  <si>
    <t>MomCom India</t>
  </si>
  <si>
    <t>Parenting</t>
  </si>
  <si>
    <t>Mad Stuff With Rob</t>
  </si>
  <si>
    <t>Lahoriye Films</t>
  </si>
  <si>
    <t>NakhreWaali</t>
  </si>
  <si>
    <t>Fashion</t>
  </si>
  <si>
    <t>Shruti Arjun Anand</t>
  </si>
  <si>
    <t>Urban Fight</t>
  </si>
  <si>
    <t>OpenMind</t>
  </si>
  <si>
    <t>World Affairs</t>
  </si>
  <si>
    <t>StudyIQ IAS</t>
  </si>
  <si>
    <t>Let's Learn Public Administration</t>
  </si>
  <si>
    <t>Channel 1</t>
  </si>
  <si>
    <t>Channel 2</t>
  </si>
  <si>
    <t>Channel 3</t>
  </si>
  <si>
    <t>Channel 4</t>
  </si>
  <si>
    <t>Channel 5</t>
  </si>
  <si>
    <t>Channel 6</t>
  </si>
  <si>
    <t>Channel 7</t>
  </si>
  <si>
    <t>Channel 8</t>
  </si>
  <si>
    <t>Channel 9</t>
  </si>
  <si>
    <t>Channel 10</t>
  </si>
  <si>
    <t>Channel 11</t>
  </si>
  <si>
    <t>Channel 12</t>
  </si>
  <si>
    <t>Channel 13</t>
  </si>
  <si>
    <t>Channel 14</t>
  </si>
  <si>
    <t>Channel 15</t>
  </si>
  <si>
    <t>Channel 16</t>
  </si>
  <si>
    <t>Channel 17</t>
  </si>
  <si>
    <t>Channel 18</t>
  </si>
  <si>
    <t>Channel 19</t>
  </si>
  <si>
    <t>Channel 20</t>
  </si>
  <si>
    <t>Channel 21</t>
  </si>
  <si>
    <t>Channel 22</t>
  </si>
  <si>
    <t>Channel 23</t>
  </si>
  <si>
    <t>Channel 24</t>
  </si>
  <si>
    <t>Channel 25</t>
  </si>
  <si>
    <t>Channel 26</t>
  </si>
  <si>
    <t>Channel 27</t>
  </si>
  <si>
    <t>Channel 28</t>
  </si>
  <si>
    <t>Channel 29</t>
  </si>
  <si>
    <t>Channel 30</t>
  </si>
  <si>
    <t>Channel 31</t>
  </si>
  <si>
    <t>Channel 32</t>
  </si>
  <si>
    <t>Channel 33</t>
  </si>
  <si>
    <t>Channel 34</t>
  </si>
  <si>
    <t>Channel 35</t>
  </si>
  <si>
    <t>Channel 36</t>
  </si>
  <si>
    <t>Channel 37</t>
  </si>
  <si>
    <t>Channel 38</t>
  </si>
  <si>
    <t>Channel 39</t>
  </si>
  <si>
    <t>Channel 40</t>
  </si>
  <si>
    <t>Channel 41</t>
  </si>
  <si>
    <t>Channel 42</t>
  </si>
  <si>
    <t>Channel 43</t>
  </si>
  <si>
    <t>Channel 44</t>
  </si>
  <si>
    <t>Channel 45</t>
  </si>
  <si>
    <t>Channel 46</t>
  </si>
  <si>
    <t>Channel 47</t>
  </si>
  <si>
    <t>Channel 48</t>
  </si>
  <si>
    <t>Channel 49</t>
  </si>
  <si>
    <t>Channel 50</t>
  </si>
  <si>
    <t>Channel 51</t>
  </si>
  <si>
    <t>Channel 52</t>
  </si>
  <si>
    <t>Channel 53</t>
  </si>
  <si>
    <t>Channel 54</t>
  </si>
  <si>
    <t>Channel 55</t>
  </si>
  <si>
    <t>Channel 56</t>
  </si>
  <si>
    <t>Channel 57</t>
  </si>
  <si>
    <t>Channel 58</t>
  </si>
  <si>
    <t>Channel 59</t>
  </si>
  <si>
    <t>Channel 60</t>
  </si>
  <si>
    <t>Channel 61</t>
  </si>
  <si>
    <t>Channel 62</t>
  </si>
  <si>
    <t>Channel 63</t>
  </si>
  <si>
    <t>Channel 64</t>
  </si>
  <si>
    <t>Channel 65</t>
  </si>
  <si>
    <t>Channel 66</t>
  </si>
  <si>
    <t>Channel 67</t>
  </si>
  <si>
    <t>Channel 68</t>
  </si>
  <si>
    <t>Channel 69</t>
  </si>
  <si>
    <t>Channel 70</t>
  </si>
  <si>
    <t>Channel 71</t>
  </si>
  <si>
    <t>Channel 72</t>
  </si>
  <si>
    <t>Channel 73</t>
  </si>
  <si>
    <t>Channel 74</t>
  </si>
  <si>
    <t>Channel 75</t>
  </si>
  <si>
    <t>Channel 76</t>
  </si>
  <si>
    <t>Channel 77</t>
  </si>
  <si>
    <t>Channel 78</t>
  </si>
  <si>
    <t>Channel 79</t>
  </si>
  <si>
    <t>Channel 80</t>
  </si>
  <si>
    <t>Channel 81</t>
  </si>
  <si>
    <t>Channel 82</t>
  </si>
  <si>
    <t>Channel 83</t>
  </si>
  <si>
    <t>Channel 84</t>
  </si>
  <si>
    <t>Channel 85</t>
  </si>
  <si>
    <t>Channel 86</t>
  </si>
  <si>
    <t>Channel 87</t>
  </si>
  <si>
    <t>Channel 88</t>
  </si>
  <si>
    <t>Channel 89</t>
  </si>
  <si>
    <t>Channel 90</t>
  </si>
  <si>
    <t>Channel 91</t>
  </si>
  <si>
    <t>Channel 92</t>
  </si>
  <si>
    <t>Channel 93</t>
  </si>
  <si>
    <t>Channel 94</t>
  </si>
  <si>
    <t>Channel 95</t>
  </si>
  <si>
    <t>Channel 96</t>
  </si>
  <si>
    <t>Channel 97</t>
  </si>
  <si>
    <t>Channel 98</t>
  </si>
  <si>
    <t>Channel 99</t>
  </si>
  <si>
    <t>Channel 100</t>
  </si>
  <si>
    <t>Q.No</t>
  </si>
  <si>
    <t>Question</t>
  </si>
  <si>
    <t>Answers:</t>
  </si>
  <si>
    <t>How many YouTube channels are listed in the dataset?</t>
  </si>
  <si>
    <t>What is the total number of videos uploaded by all channels?</t>
  </si>
  <si>
    <t>What is the average number of subscribers?</t>
  </si>
  <si>
    <t>What is the highest number of total views?</t>
  </si>
  <si>
    <t>What is the lowest number of videos uploaded?</t>
  </si>
  <si>
    <t>How many channels are from the category "Music"?</t>
  </si>
  <si>
    <t>What is the average number of videos uploaded by "Tech" channels?</t>
  </si>
  <si>
    <t>What is the most common category in the dataset?</t>
  </si>
  <si>
    <t>What is the 3rd highest subscriber count?</t>
  </si>
  <si>
    <t>What is the 5th lowest total views?</t>
  </si>
  <si>
    <t>What is the total number of channels launched in 2020?</t>
  </si>
  <si>
    <t>What is the average number of subscribers for channels launched in 2019?</t>
  </si>
  <si>
    <t>What is the range of subscriber counts?</t>
  </si>
  <si>
    <t>What is the total number of views for all channels?</t>
  </si>
  <si>
    <t>What is the standard deviation of total views?</t>
  </si>
  <si>
    <r>
      <rPr>
        <b/>
        <sz val="11"/>
        <color theme="1"/>
        <rFont val="Calibri"/>
        <family val="2"/>
        <scheme val="minor"/>
      </rPr>
      <t>Problem Statement</t>
    </r>
    <r>
      <rPr>
        <sz val="11"/>
        <color theme="1"/>
        <rFont val="Calibri"/>
        <family val="2"/>
        <scheme val="minor"/>
      </rPr>
      <t xml:space="preserve">:
You are working as a data analyst for a media insights firm. Your team has compiled a dataset of popular YouTube channels from India and around the world. You have been tasked with performing a basic analysis using Excel to understand content trends, audience reach, and upload activity across different types of channels.
Using this dataset, you will calculate summary statistics and answer simple data-driven questions using Excel formulas. This exercise will help you practice foundational Excel skills like using </t>
    </r>
    <r>
      <rPr>
        <b/>
        <sz val="11"/>
        <color theme="1"/>
        <rFont val="Calibri"/>
        <family val="2"/>
        <scheme val="minor"/>
      </rPr>
      <t>SUM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AVERAGE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MIN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COUNTIF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LARGE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SMALL.</t>
    </r>
  </si>
  <si>
    <t>Column Name</t>
  </si>
  <si>
    <t>Description</t>
  </si>
  <si>
    <t>Serial number for each channel</t>
  </si>
  <si>
    <t>The name of the YouTube channel</t>
  </si>
  <si>
    <t>The content type (e.g., Music, Education, Tech, Gaming, etc.)</t>
  </si>
  <si>
    <t>The year the channel was started</t>
  </si>
  <si>
    <t>Total number of subscribers (in millions)</t>
  </si>
  <si>
    <t>Total number of videos uploaded on the channel</t>
  </si>
  <si>
    <t>Total number of views the channel has received (in millions)</t>
  </si>
  <si>
    <t>Data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</si>
</sst>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DB27D-CBD3-4442-9F19-331688D3AA80}">
  <dimension ref="B1:L14"/>
  <sheetViews>
    <sheetView topLeftCell="A31" workbookViewId="0">
      <selection activeCell="K22" sqref="K22"/>
    </sheetView>
  </sheetViews>
  <sheetFormatPr defaultRowHeight="14.4"/>
  <cols>
    <col min="11" max="11" width="14.88671875" bestFit="1" customWidth="1"/>
    <col min="12" max="12" width="50.88671875" bestFit="1" customWidth="1"/>
  </cols>
  <sheetData>
    <row r="1" spans="2:12" s="2" customFormat="1"/>
    <row r="2" spans="2:12" s="2" customFormat="1"/>
    <row r="3" spans="2:12" s="2" customFormat="1"/>
    <row r="4" spans="2:12">
      <c r="K4" s="26" t="s">
        <v>311</v>
      </c>
      <c r="L4" s="26"/>
    </row>
    <row r="5" spans="2:12">
      <c r="B5" s="17" t="s">
        <v>301</v>
      </c>
      <c r="C5" s="18"/>
      <c r="D5" s="18"/>
      <c r="E5" s="18"/>
      <c r="F5" s="18"/>
      <c r="G5" s="18"/>
      <c r="H5" s="18"/>
      <c r="I5" s="19"/>
      <c r="K5" s="4" t="s">
        <v>302</v>
      </c>
      <c r="L5" s="4" t="s">
        <v>303</v>
      </c>
    </row>
    <row r="6" spans="2:12">
      <c r="B6" s="20"/>
      <c r="C6" s="21"/>
      <c r="D6" s="21"/>
      <c r="E6" s="21"/>
      <c r="F6" s="21"/>
      <c r="G6" s="21"/>
      <c r="H6" s="21"/>
      <c r="I6" s="22"/>
      <c r="K6" s="15" t="s">
        <v>0</v>
      </c>
      <c r="L6" s="16" t="s">
        <v>304</v>
      </c>
    </row>
    <row r="7" spans="2:12">
      <c r="B7" s="20"/>
      <c r="C7" s="21"/>
      <c r="D7" s="21"/>
      <c r="E7" s="21"/>
      <c r="F7" s="21"/>
      <c r="G7" s="21"/>
      <c r="H7" s="21"/>
      <c r="I7" s="22"/>
      <c r="K7" s="15" t="s">
        <v>1</v>
      </c>
      <c r="L7" s="16" t="s">
        <v>305</v>
      </c>
    </row>
    <row r="8" spans="2:12">
      <c r="B8" s="20"/>
      <c r="C8" s="21"/>
      <c r="D8" s="21"/>
      <c r="E8" s="21"/>
      <c r="F8" s="21"/>
      <c r="G8" s="21"/>
      <c r="H8" s="21"/>
      <c r="I8" s="22"/>
      <c r="K8" s="15" t="s">
        <v>2</v>
      </c>
      <c r="L8" s="16" t="s">
        <v>306</v>
      </c>
    </row>
    <row r="9" spans="2:12">
      <c r="B9" s="20"/>
      <c r="C9" s="21"/>
      <c r="D9" s="21"/>
      <c r="E9" s="21"/>
      <c r="F9" s="21"/>
      <c r="G9" s="21"/>
      <c r="H9" s="21"/>
      <c r="I9" s="22"/>
      <c r="K9" s="15" t="s">
        <v>3</v>
      </c>
      <c r="L9" s="16" t="s">
        <v>307</v>
      </c>
    </row>
    <row r="10" spans="2:12">
      <c r="B10" s="20"/>
      <c r="C10" s="21"/>
      <c r="D10" s="21"/>
      <c r="E10" s="21"/>
      <c r="F10" s="21"/>
      <c r="G10" s="21"/>
      <c r="H10" s="21"/>
      <c r="I10" s="22"/>
      <c r="K10" s="15" t="s">
        <v>4</v>
      </c>
      <c r="L10" s="16" t="s">
        <v>308</v>
      </c>
    </row>
    <row r="11" spans="2:12">
      <c r="B11" s="20"/>
      <c r="C11" s="21"/>
      <c r="D11" s="21"/>
      <c r="E11" s="21"/>
      <c r="F11" s="21"/>
      <c r="G11" s="21"/>
      <c r="H11" s="21"/>
      <c r="I11" s="22"/>
      <c r="K11" s="15" t="s">
        <v>5</v>
      </c>
      <c r="L11" s="16" t="s">
        <v>309</v>
      </c>
    </row>
    <row r="12" spans="2:12">
      <c r="B12" s="20"/>
      <c r="C12" s="21"/>
      <c r="D12" s="21"/>
      <c r="E12" s="21"/>
      <c r="F12" s="21"/>
      <c r="G12" s="21"/>
      <c r="H12" s="21"/>
      <c r="I12" s="22"/>
      <c r="K12" s="15" t="s">
        <v>6</v>
      </c>
      <c r="L12" s="16" t="s">
        <v>310</v>
      </c>
    </row>
    <row r="13" spans="2:12">
      <c r="B13" s="20"/>
      <c r="C13" s="21"/>
      <c r="D13" s="21"/>
      <c r="E13" s="21"/>
      <c r="F13" s="21"/>
      <c r="G13" s="21"/>
      <c r="H13" s="21"/>
      <c r="I13" s="22"/>
    </row>
    <row r="14" spans="2:12">
      <c r="B14" s="23"/>
      <c r="C14" s="24"/>
      <c r="D14" s="24"/>
      <c r="E14" s="24"/>
      <c r="F14" s="24"/>
      <c r="G14" s="24"/>
      <c r="H14" s="24"/>
      <c r="I14" s="25"/>
    </row>
  </sheetData>
  <mergeCells count="2">
    <mergeCell ref="B5:I14"/>
    <mergeCell ref="K4:L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4"/>
  <sheetViews>
    <sheetView topLeftCell="A225" workbookViewId="0">
      <selection activeCell="J8" sqref="J8"/>
    </sheetView>
  </sheetViews>
  <sheetFormatPr defaultRowHeight="14.4"/>
  <cols>
    <col min="1" max="1" width="6.109375" bestFit="1" customWidth="1"/>
    <col min="2" max="2" width="32.21875" bestFit="1" customWidth="1"/>
    <col min="3" max="3" width="12.6640625" bestFit="1" customWidth="1"/>
    <col min="4" max="4" width="11.21875" bestFit="1" customWidth="1"/>
    <col min="5" max="5" width="14.21875" bestFit="1" customWidth="1"/>
    <col min="6" max="6" width="15.44140625" bestFit="1" customWidth="1"/>
    <col min="7" max="7" width="14.2187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2"/>
      <c r="K1" s="2"/>
      <c r="L1" s="2"/>
      <c r="M1" s="2"/>
      <c r="N1" s="2"/>
    </row>
    <row r="2" spans="1:14">
      <c r="A2">
        <f>ROW(A1)</f>
        <v>1</v>
      </c>
      <c r="B2" t="s">
        <v>26</v>
      </c>
      <c r="C2" t="s">
        <v>86</v>
      </c>
      <c r="D2">
        <v>2006</v>
      </c>
      <c r="E2">
        <v>270</v>
      </c>
      <c r="F2">
        <v>423</v>
      </c>
      <c r="G2">
        <v>9866.68</v>
      </c>
      <c r="I2" s="2"/>
    </row>
    <row r="3" spans="1:14">
      <c r="A3" s="2">
        <f t="shared" ref="A3:A66" si="0">ROW(A2)</f>
        <v>2</v>
      </c>
      <c r="B3" t="s">
        <v>27</v>
      </c>
      <c r="C3" t="s">
        <v>77</v>
      </c>
      <c r="D3">
        <v>2012</v>
      </c>
      <c r="E3">
        <v>260</v>
      </c>
      <c r="F3">
        <v>1025</v>
      </c>
      <c r="G3">
        <v>19563.650000000001</v>
      </c>
      <c r="I3" s="2"/>
    </row>
    <row r="4" spans="1:14">
      <c r="A4" s="2">
        <f t="shared" si="0"/>
        <v>3</v>
      </c>
      <c r="B4" t="s">
        <v>28</v>
      </c>
      <c r="C4" t="s">
        <v>87</v>
      </c>
      <c r="D4">
        <v>2006</v>
      </c>
      <c r="E4">
        <v>180</v>
      </c>
      <c r="F4">
        <v>1443</v>
      </c>
      <c r="G4">
        <v>6986.33</v>
      </c>
      <c r="I4" s="2"/>
    </row>
    <row r="5" spans="1:14">
      <c r="A5" s="2">
        <f t="shared" si="0"/>
        <v>4</v>
      </c>
      <c r="B5" t="s">
        <v>29</v>
      </c>
      <c r="C5" t="s">
        <v>77</v>
      </c>
      <c r="D5">
        <v>2006</v>
      </c>
      <c r="E5">
        <v>160</v>
      </c>
      <c r="F5">
        <v>1356</v>
      </c>
      <c r="G5">
        <v>11500.53</v>
      </c>
      <c r="I5" s="2"/>
    </row>
    <row r="6" spans="1:14">
      <c r="A6" s="2">
        <f t="shared" si="0"/>
        <v>5</v>
      </c>
      <c r="B6" t="s">
        <v>30</v>
      </c>
      <c r="C6" t="s">
        <v>88</v>
      </c>
      <c r="D6">
        <v>2010</v>
      </c>
      <c r="E6">
        <v>111</v>
      </c>
      <c r="F6">
        <v>1166</v>
      </c>
      <c r="G6">
        <v>4847.63</v>
      </c>
      <c r="I6" s="2"/>
    </row>
    <row r="7" spans="1:14">
      <c r="A7" s="2">
        <f t="shared" si="0"/>
        <v>6</v>
      </c>
      <c r="B7" t="s">
        <v>31</v>
      </c>
      <c r="C7" t="s">
        <v>87</v>
      </c>
      <c r="D7">
        <v>2016</v>
      </c>
      <c r="E7">
        <v>110</v>
      </c>
      <c r="F7">
        <v>1630</v>
      </c>
      <c r="G7">
        <v>9343.6299999999992</v>
      </c>
      <c r="I7" s="2"/>
    </row>
    <row r="8" spans="1:14">
      <c r="A8" s="2">
        <f t="shared" si="0"/>
        <v>7</v>
      </c>
      <c r="B8" t="s">
        <v>32</v>
      </c>
      <c r="C8" t="s">
        <v>87</v>
      </c>
      <c r="D8">
        <v>2015</v>
      </c>
      <c r="E8">
        <v>105</v>
      </c>
      <c r="F8">
        <v>1205</v>
      </c>
      <c r="G8">
        <v>4272.79</v>
      </c>
    </row>
    <row r="9" spans="1:14">
      <c r="A9" s="2">
        <f t="shared" si="0"/>
        <v>8</v>
      </c>
      <c r="B9" t="s">
        <v>25</v>
      </c>
      <c r="C9" t="s">
        <v>86</v>
      </c>
      <c r="D9">
        <v>2014</v>
      </c>
      <c r="E9">
        <v>100.3</v>
      </c>
      <c r="F9">
        <v>1257</v>
      </c>
      <c r="G9">
        <v>3397.11</v>
      </c>
    </row>
    <row r="10" spans="1:14">
      <c r="A10" s="2">
        <f t="shared" si="0"/>
        <v>9</v>
      </c>
      <c r="B10" t="s">
        <v>33</v>
      </c>
      <c r="C10" t="s">
        <v>89</v>
      </c>
      <c r="D10">
        <v>2007</v>
      </c>
      <c r="E10">
        <v>100</v>
      </c>
      <c r="F10">
        <v>1956</v>
      </c>
      <c r="G10">
        <v>8568.99</v>
      </c>
    </row>
    <row r="11" spans="1:14">
      <c r="A11" s="2">
        <f t="shared" si="0"/>
        <v>10</v>
      </c>
      <c r="B11" t="s">
        <v>35</v>
      </c>
      <c r="C11" t="s">
        <v>87</v>
      </c>
      <c r="D11">
        <v>2018</v>
      </c>
      <c r="E11">
        <v>95</v>
      </c>
      <c r="F11">
        <v>1293</v>
      </c>
      <c r="G11">
        <v>7737.53</v>
      </c>
    </row>
    <row r="12" spans="1:14">
      <c r="A12" s="2">
        <f t="shared" si="0"/>
        <v>11</v>
      </c>
      <c r="B12" t="s">
        <v>22</v>
      </c>
      <c r="C12" t="s">
        <v>77</v>
      </c>
      <c r="D12">
        <v>2008</v>
      </c>
      <c r="E12">
        <v>92</v>
      </c>
      <c r="F12">
        <v>1299</v>
      </c>
      <c r="G12">
        <v>8326.9599999999991</v>
      </c>
    </row>
    <row r="13" spans="1:14">
      <c r="A13" s="2">
        <f t="shared" si="0"/>
        <v>12</v>
      </c>
      <c r="B13" t="s">
        <v>36</v>
      </c>
      <c r="C13" t="s">
        <v>86</v>
      </c>
      <c r="D13">
        <v>2016</v>
      </c>
      <c r="E13">
        <v>90</v>
      </c>
      <c r="F13">
        <v>1707</v>
      </c>
      <c r="G13">
        <v>2138.6799999999998</v>
      </c>
    </row>
    <row r="14" spans="1:14">
      <c r="A14" s="2">
        <f t="shared" si="0"/>
        <v>13</v>
      </c>
      <c r="B14" t="s">
        <v>34</v>
      </c>
      <c r="C14" t="s">
        <v>90</v>
      </c>
      <c r="D14">
        <v>2016</v>
      </c>
      <c r="E14">
        <v>79</v>
      </c>
      <c r="F14">
        <v>568</v>
      </c>
      <c r="G14">
        <v>3641.54</v>
      </c>
    </row>
    <row r="15" spans="1:14">
      <c r="A15" s="2">
        <f t="shared" si="0"/>
        <v>14</v>
      </c>
      <c r="B15" t="s">
        <v>50</v>
      </c>
      <c r="C15" t="s">
        <v>86</v>
      </c>
      <c r="D15">
        <v>2012</v>
      </c>
      <c r="E15">
        <v>77</v>
      </c>
      <c r="F15">
        <v>421</v>
      </c>
      <c r="G15">
        <v>3000.43</v>
      </c>
    </row>
    <row r="16" spans="1:14">
      <c r="A16" s="2">
        <f t="shared" si="0"/>
        <v>15</v>
      </c>
      <c r="B16" t="s">
        <v>37</v>
      </c>
      <c r="C16" t="s">
        <v>86</v>
      </c>
      <c r="D16">
        <v>2009</v>
      </c>
      <c r="E16">
        <v>71</v>
      </c>
      <c r="F16">
        <v>1523</v>
      </c>
      <c r="G16">
        <v>5824.37</v>
      </c>
    </row>
    <row r="17" spans="1:7">
      <c r="A17" s="2">
        <f t="shared" si="0"/>
        <v>16</v>
      </c>
      <c r="B17" t="s">
        <v>44</v>
      </c>
      <c r="C17" t="s">
        <v>89</v>
      </c>
      <c r="D17">
        <v>2009</v>
      </c>
      <c r="E17">
        <v>60</v>
      </c>
      <c r="F17">
        <v>785</v>
      </c>
      <c r="G17">
        <v>4302.62</v>
      </c>
    </row>
    <row r="18" spans="1:7">
      <c r="A18" s="2">
        <f t="shared" si="0"/>
        <v>17</v>
      </c>
      <c r="B18" t="s">
        <v>46</v>
      </c>
      <c r="C18" t="s">
        <v>77</v>
      </c>
      <c r="D18">
        <v>2014</v>
      </c>
      <c r="E18">
        <v>60</v>
      </c>
      <c r="F18">
        <v>631</v>
      </c>
      <c r="G18">
        <v>3549.36</v>
      </c>
    </row>
    <row r="19" spans="1:7">
      <c r="A19" s="2">
        <f t="shared" si="0"/>
        <v>18</v>
      </c>
      <c r="B19" t="s">
        <v>18</v>
      </c>
      <c r="C19" t="s">
        <v>84</v>
      </c>
      <c r="D19">
        <v>2012</v>
      </c>
      <c r="E19">
        <v>56.7</v>
      </c>
      <c r="F19">
        <v>1500</v>
      </c>
      <c r="G19">
        <v>4661.12</v>
      </c>
    </row>
    <row r="20" spans="1:7">
      <c r="A20" s="2">
        <f t="shared" si="0"/>
        <v>19</v>
      </c>
      <c r="B20" t="s">
        <v>38</v>
      </c>
      <c r="C20" t="s">
        <v>86</v>
      </c>
      <c r="D20">
        <v>2015</v>
      </c>
      <c r="E20">
        <v>56</v>
      </c>
      <c r="F20">
        <v>922</v>
      </c>
      <c r="G20">
        <v>4454.17</v>
      </c>
    </row>
    <row r="21" spans="1:7">
      <c r="A21" s="2">
        <f t="shared" si="0"/>
        <v>20</v>
      </c>
      <c r="B21" t="s">
        <v>48</v>
      </c>
      <c r="C21" t="s">
        <v>87</v>
      </c>
      <c r="D21">
        <v>2014</v>
      </c>
      <c r="E21">
        <v>52</v>
      </c>
      <c r="F21">
        <v>1537</v>
      </c>
      <c r="G21">
        <v>3851.17</v>
      </c>
    </row>
    <row r="22" spans="1:7">
      <c r="A22" s="2">
        <f t="shared" si="0"/>
        <v>21</v>
      </c>
      <c r="B22" t="s">
        <v>49</v>
      </c>
      <c r="C22" t="s">
        <v>86</v>
      </c>
      <c r="D22">
        <v>2012</v>
      </c>
      <c r="E22">
        <v>47</v>
      </c>
      <c r="F22">
        <v>1769</v>
      </c>
      <c r="G22">
        <v>1367.82</v>
      </c>
    </row>
    <row r="23" spans="1:7">
      <c r="A23" s="2">
        <f t="shared" si="0"/>
        <v>22</v>
      </c>
      <c r="B23" t="s">
        <v>12</v>
      </c>
      <c r="C23" t="s">
        <v>80</v>
      </c>
      <c r="D23">
        <v>2014</v>
      </c>
      <c r="E23">
        <v>42.3</v>
      </c>
      <c r="F23">
        <v>1014</v>
      </c>
      <c r="G23">
        <v>4073.99</v>
      </c>
    </row>
    <row r="24" spans="1:7">
      <c r="A24" s="2">
        <f t="shared" si="0"/>
        <v>23</v>
      </c>
      <c r="B24" t="s">
        <v>45</v>
      </c>
      <c r="C24" t="s">
        <v>77</v>
      </c>
      <c r="D24">
        <v>2006</v>
      </c>
      <c r="E24">
        <v>39</v>
      </c>
      <c r="F24">
        <v>996</v>
      </c>
      <c r="G24">
        <v>1721.54</v>
      </c>
    </row>
    <row r="25" spans="1:7">
      <c r="A25" s="2">
        <f t="shared" si="0"/>
        <v>24</v>
      </c>
      <c r="B25" t="s">
        <v>24</v>
      </c>
      <c r="C25" t="s">
        <v>84</v>
      </c>
      <c r="D25">
        <v>2012</v>
      </c>
      <c r="E25">
        <v>36.799999999999997</v>
      </c>
      <c r="F25">
        <v>578</v>
      </c>
      <c r="G25">
        <v>3256.07</v>
      </c>
    </row>
    <row r="26" spans="1:7">
      <c r="A26" s="2">
        <f t="shared" si="0"/>
        <v>25</v>
      </c>
      <c r="B26" t="s">
        <v>52</v>
      </c>
      <c r="C26" t="s">
        <v>77</v>
      </c>
      <c r="D26">
        <v>2006</v>
      </c>
      <c r="E26">
        <v>31</v>
      </c>
      <c r="F26">
        <v>1483</v>
      </c>
      <c r="G26">
        <v>935.2</v>
      </c>
    </row>
    <row r="27" spans="1:7">
      <c r="A27" s="2">
        <f t="shared" si="0"/>
        <v>26</v>
      </c>
      <c r="B27" t="s">
        <v>15</v>
      </c>
      <c r="C27" t="s">
        <v>80</v>
      </c>
      <c r="D27">
        <v>2014</v>
      </c>
      <c r="E27">
        <v>30.2</v>
      </c>
      <c r="F27">
        <v>756</v>
      </c>
      <c r="G27">
        <v>2848.99</v>
      </c>
    </row>
    <row r="28" spans="1:7">
      <c r="A28" s="2">
        <f t="shared" si="0"/>
        <v>27</v>
      </c>
      <c r="B28" t="s">
        <v>47</v>
      </c>
      <c r="C28" t="s">
        <v>90</v>
      </c>
      <c r="D28">
        <v>2015</v>
      </c>
      <c r="E28">
        <v>30</v>
      </c>
      <c r="F28">
        <v>803</v>
      </c>
      <c r="G28">
        <v>993.6</v>
      </c>
    </row>
    <row r="29" spans="1:7">
      <c r="A29" s="2">
        <f t="shared" si="0"/>
        <v>28</v>
      </c>
      <c r="B29" t="s">
        <v>71</v>
      </c>
      <c r="C29" t="s">
        <v>77</v>
      </c>
      <c r="D29">
        <v>2013</v>
      </c>
      <c r="E29">
        <v>30</v>
      </c>
      <c r="F29">
        <v>664</v>
      </c>
      <c r="G29">
        <v>1886.44</v>
      </c>
    </row>
    <row r="30" spans="1:7">
      <c r="A30" s="2">
        <f t="shared" si="0"/>
        <v>29</v>
      </c>
      <c r="B30" t="s">
        <v>53</v>
      </c>
      <c r="C30" t="s">
        <v>87</v>
      </c>
      <c r="D30">
        <v>2006</v>
      </c>
      <c r="E30">
        <v>29</v>
      </c>
      <c r="F30">
        <v>1311</v>
      </c>
      <c r="G30">
        <v>1257.58</v>
      </c>
    </row>
    <row r="31" spans="1:7">
      <c r="A31" s="2">
        <f t="shared" si="0"/>
        <v>30</v>
      </c>
      <c r="B31" t="s">
        <v>20</v>
      </c>
      <c r="C31" t="s">
        <v>80</v>
      </c>
      <c r="D31">
        <v>2015</v>
      </c>
      <c r="E31">
        <v>27.8</v>
      </c>
      <c r="F31">
        <v>647</v>
      </c>
      <c r="G31">
        <v>2326.25</v>
      </c>
    </row>
    <row r="32" spans="1:7">
      <c r="A32" s="2">
        <f t="shared" si="0"/>
        <v>31</v>
      </c>
      <c r="B32" t="s">
        <v>19</v>
      </c>
      <c r="C32" t="s">
        <v>85</v>
      </c>
      <c r="D32">
        <v>2012</v>
      </c>
      <c r="E32">
        <v>27.5</v>
      </c>
      <c r="F32">
        <v>1312</v>
      </c>
      <c r="G32">
        <v>2144.21</v>
      </c>
    </row>
    <row r="33" spans="1:7">
      <c r="A33" s="2">
        <f t="shared" si="0"/>
        <v>32</v>
      </c>
      <c r="B33" t="s">
        <v>51</v>
      </c>
      <c r="C33" t="s">
        <v>77</v>
      </c>
      <c r="D33">
        <v>2012</v>
      </c>
      <c r="E33">
        <v>27</v>
      </c>
      <c r="F33">
        <v>404</v>
      </c>
      <c r="G33">
        <v>1542.15</v>
      </c>
    </row>
    <row r="34" spans="1:7">
      <c r="A34" s="2">
        <f t="shared" si="0"/>
        <v>33</v>
      </c>
      <c r="B34" t="s">
        <v>41</v>
      </c>
      <c r="C34" t="s">
        <v>82</v>
      </c>
      <c r="D34">
        <v>2011</v>
      </c>
      <c r="E34">
        <v>25</v>
      </c>
      <c r="F34">
        <v>1154</v>
      </c>
      <c r="G34">
        <v>1133.94</v>
      </c>
    </row>
    <row r="35" spans="1:7">
      <c r="A35" s="2">
        <f t="shared" si="0"/>
        <v>34</v>
      </c>
      <c r="B35" t="s">
        <v>61</v>
      </c>
      <c r="C35" t="s">
        <v>93</v>
      </c>
      <c r="D35">
        <v>2015</v>
      </c>
      <c r="E35">
        <v>25</v>
      </c>
      <c r="F35">
        <v>1645</v>
      </c>
      <c r="G35">
        <v>2453.6799999999998</v>
      </c>
    </row>
    <row r="36" spans="1:7">
      <c r="A36" s="2">
        <f t="shared" si="0"/>
        <v>35</v>
      </c>
      <c r="B36" t="s">
        <v>10</v>
      </c>
      <c r="C36" t="s">
        <v>80</v>
      </c>
      <c r="D36">
        <v>2017</v>
      </c>
      <c r="E36">
        <v>24.9</v>
      </c>
      <c r="F36">
        <v>1308</v>
      </c>
      <c r="G36">
        <v>2086.06</v>
      </c>
    </row>
    <row r="37" spans="1:7">
      <c r="A37" s="2">
        <f t="shared" si="0"/>
        <v>36</v>
      </c>
      <c r="B37" t="s">
        <v>8</v>
      </c>
      <c r="C37" t="s">
        <v>78</v>
      </c>
      <c r="D37">
        <v>2015</v>
      </c>
      <c r="E37">
        <v>23.5</v>
      </c>
      <c r="F37">
        <v>577</v>
      </c>
      <c r="G37">
        <v>1231.55</v>
      </c>
    </row>
    <row r="38" spans="1:7">
      <c r="A38" s="2">
        <f t="shared" si="0"/>
        <v>37</v>
      </c>
      <c r="B38" t="s">
        <v>39</v>
      </c>
      <c r="C38" t="s">
        <v>82</v>
      </c>
      <c r="D38">
        <v>2011</v>
      </c>
      <c r="E38">
        <v>22</v>
      </c>
      <c r="F38">
        <v>920</v>
      </c>
      <c r="G38">
        <v>1195.27</v>
      </c>
    </row>
    <row r="39" spans="1:7">
      <c r="A39" s="2">
        <f t="shared" si="0"/>
        <v>38</v>
      </c>
      <c r="B39" t="s">
        <v>54</v>
      </c>
      <c r="C39" t="s">
        <v>82</v>
      </c>
      <c r="D39">
        <v>2006</v>
      </c>
      <c r="E39">
        <v>22</v>
      </c>
      <c r="F39">
        <v>1081</v>
      </c>
      <c r="G39">
        <v>1285.24</v>
      </c>
    </row>
    <row r="40" spans="1:7">
      <c r="A40" s="2">
        <f t="shared" si="0"/>
        <v>39</v>
      </c>
      <c r="B40" t="s">
        <v>59</v>
      </c>
      <c r="C40" t="s">
        <v>82</v>
      </c>
      <c r="D40">
        <v>2013</v>
      </c>
      <c r="E40">
        <v>22</v>
      </c>
      <c r="F40">
        <v>1239</v>
      </c>
      <c r="G40">
        <v>1235.24</v>
      </c>
    </row>
    <row r="41" spans="1:7">
      <c r="A41" s="2">
        <f t="shared" si="0"/>
        <v>40</v>
      </c>
      <c r="B41" t="s">
        <v>70</v>
      </c>
      <c r="C41" t="s">
        <v>83</v>
      </c>
      <c r="D41">
        <v>2006</v>
      </c>
      <c r="E41">
        <v>22</v>
      </c>
      <c r="F41">
        <v>1849</v>
      </c>
      <c r="G41">
        <v>810.57</v>
      </c>
    </row>
    <row r="42" spans="1:7">
      <c r="A42" s="2">
        <f t="shared" si="0"/>
        <v>41</v>
      </c>
      <c r="B42" t="s">
        <v>56</v>
      </c>
      <c r="C42" t="s">
        <v>83</v>
      </c>
      <c r="D42">
        <v>2016</v>
      </c>
      <c r="E42">
        <v>21</v>
      </c>
      <c r="F42">
        <v>721</v>
      </c>
      <c r="G42">
        <v>1990.08</v>
      </c>
    </row>
    <row r="43" spans="1:7">
      <c r="A43" s="2">
        <f t="shared" si="0"/>
        <v>42</v>
      </c>
      <c r="B43" t="s">
        <v>21</v>
      </c>
      <c r="C43" t="s">
        <v>77</v>
      </c>
      <c r="D43">
        <v>2017</v>
      </c>
      <c r="E43">
        <v>20.9</v>
      </c>
      <c r="F43">
        <v>1423</v>
      </c>
      <c r="G43">
        <v>701.29</v>
      </c>
    </row>
    <row r="44" spans="1:7">
      <c r="A44" s="2">
        <f t="shared" si="0"/>
        <v>43</v>
      </c>
      <c r="B44" t="s">
        <v>16</v>
      </c>
      <c r="C44" t="s">
        <v>83</v>
      </c>
      <c r="D44">
        <v>2018</v>
      </c>
      <c r="E44">
        <v>20.3</v>
      </c>
      <c r="F44">
        <v>299</v>
      </c>
      <c r="G44">
        <v>1077.0899999999999</v>
      </c>
    </row>
    <row r="45" spans="1:7">
      <c r="A45" s="2">
        <f t="shared" si="0"/>
        <v>44</v>
      </c>
      <c r="B45" t="s">
        <v>60</v>
      </c>
      <c r="C45" t="s">
        <v>92</v>
      </c>
      <c r="D45">
        <v>2014</v>
      </c>
      <c r="E45">
        <v>20</v>
      </c>
      <c r="F45">
        <v>463</v>
      </c>
      <c r="G45">
        <v>480.83</v>
      </c>
    </row>
    <row r="46" spans="1:7">
      <c r="A46" s="2">
        <f t="shared" si="0"/>
        <v>45</v>
      </c>
      <c r="B46" t="s">
        <v>74</v>
      </c>
      <c r="C46" t="s">
        <v>86</v>
      </c>
      <c r="D46">
        <v>2016</v>
      </c>
      <c r="E46">
        <v>20</v>
      </c>
      <c r="F46">
        <v>216</v>
      </c>
      <c r="G46">
        <v>1144</v>
      </c>
    </row>
    <row r="47" spans="1:7">
      <c r="A47" s="2">
        <f t="shared" si="0"/>
        <v>46</v>
      </c>
      <c r="B47" t="s">
        <v>64</v>
      </c>
      <c r="C47" t="s">
        <v>77</v>
      </c>
      <c r="D47">
        <v>2008</v>
      </c>
      <c r="E47">
        <v>18</v>
      </c>
      <c r="F47">
        <v>1388</v>
      </c>
      <c r="G47">
        <v>659.55</v>
      </c>
    </row>
    <row r="48" spans="1:7">
      <c r="A48" s="2">
        <f t="shared" si="0"/>
        <v>47</v>
      </c>
      <c r="B48" t="s">
        <v>23</v>
      </c>
      <c r="C48" t="s">
        <v>82</v>
      </c>
      <c r="D48">
        <v>2016</v>
      </c>
      <c r="E48">
        <v>17.2</v>
      </c>
      <c r="F48">
        <v>951</v>
      </c>
      <c r="G48">
        <v>640.79999999999995</v>
      </c>
    </row>
    <row r="49" spans="1:7">
      <c r="A49" s="2">
        <f t="shared" si="0"/>
        <v>48</v>
      </c>
      <c r="B49" t="s">
        <v>72</v>
      </c>
      <c r="C49" t="s">
        <v>80</v>
      </c>
      <c r="D49">
        <v>2011</v>
      </c>
      <c r="E49">
        <v>17</v>
      </c>
      <c r="F49">
        <v>1696</v>
      </c>
      <c r="G49">
        <v>682.05</v>
      </c>
    </row>
    <row r="50" spans="1:7">
      <c r="A50" s="2">
        <f t="shared" si="0"/>
        <v>49</v>
      </c>
      <c r="B50" t="s">
        <v>40</v>
      </c>
      <c r="C50" t="s">
        <v>82</v>
      </c>
      <c r="D50">
        <v>2010</v>
      </c>
      <c r="E50">
        <v>15</v>
      </c>
      <c r="F50">
        <v>1808</v>
      </c>
      <c r="G50">
        <v>998.43</v>
      </c>
    </row>
    <row r="51" spans="1:7">
      <c r="A51" s="2">
        <f t="shared" si="0"/>
        <v>50</v>
      </c>
      <c r="B51" t="s">
        <v>67</v>
      </c>
      <c r="C51" t="s">
        <v>78</v>
      </c>
      <c r="D51">
        <v>2008</v>
      </c>
      <c r="E51">
        <v>15</v>
      </c>
      <c r="F51">
        <v>1218</v>
      </c>
      <c r="G51">
        <v>1294.1500000000001</v>
      </c>
    </row>
    <row r="52" spans="1:7">
      <c r="A52" s="2">
        <f t="shared" si="0"/>
        <v>51</v>
      </c>
      <c r="B52" t="s">
        <v>9</v>
      </c>
      <c r="C52" t="s">
        <v>79</v>
      </c>
      <c r="D52">
        <v>2014</v>
      </c>
      <c r="E52">
        <v>14.9</v>
      </c>
      <c r="F52">
        <v>615</v>
      </c>
      <c r="G52">
        <v>1100.49</v>
      </c>
    </row>
    <row r="53" spans="1:7">
      <c r="A53" s="2">
        <f t="shared" si="0"/>
        <v>52</v>
      </c>
      <c r="B53" t="s">
        <v>17</v>
      </c>
      <c r="C53" t="s">
        <v>83</v>
      </c>
      <c r="D53">
        <v>2014</v>
      </c>
      <c r="E53">
        <v>14.6</v>
      </c>
      <c r="F53">
        <v>122</v>
      </c>
      <c r="G53">
        <v>849.88</v>
      </c>
    </row>
    <row r="54" spans="1:7">
      <c r="A54" s="2">
        <f t="shared" si="0"/>
        <v>53</v>
      </c>
      <c r="B54" t="s">
        <v>55</v>
      </c>
      <c r="C54" t="s">
        <v>84</v>
      </c>
      <c r="D54">
        <v>2006</v>
      </c>
      <c r="E54">
        <v>14</v>
      </c>
      <c r="F54">
        <v>1195</v>
      </c>
      <c r="G54">
        <v>536.9</v>
      </c>
    </row>
    <row r="55" spans="1:7">
      <c r="A55" s="2">
        <f t="shared" si="0"/>
        <v>54</v>
      </c>
      <c r="B55" t="s">
        <v>62</v>
      </c>
      <c r="C55" t="s">
        <v>91</v>
      </c>
      <c r="D55">
        <v>2010</v>
      </c>
      <c r="E55">
        <v>14</v>
      </c>
      <c r="F55">
        <v>361</v>
      </c>
      <c r="G55">
        <v>1135.56</v>
      </c>
    </row>
    <row r="56" spans="1:7">
      <c r="A56" s="2">
        <f t="shared" si="0"/>
        <v>55</v>
      </c>
      <c r="B56" t="s">
        <v>65</v>
      </c>
      <c r="C56" t="s">
        <v>77</v>
      </c>
      <c r="D56">
        <v>2014</v>
      </c>
      <c r="E56">
        <v>14</v>
      </c>
      <c r="F56">
        <v>1378</v>
      </c>
      <c r="G56">
        <v>557.15</v>
      </c>
    </row>
    <row r="57" spans="1:7">
      <c r="A57" s="2">
        <f t="shared" si="0"/>
        <v>56</v>
      </c>
      <c r="B57" t="s">
        <v>43</v>
      </c>
      <c r="C57" t="s">
        <v>84</v>
      </c>
      <c r="D57">
        <v>2006</v>
      </c>
      <c r="E57">
        <v>13</v>
      </c>
      <c r="F57">
        <v>1251</v>
      </c>
      <c r="G57">
        <v>1136.8699999999999</v>
      </c>
    </row>
    <row r="58" spans="1:7">
      <c r="A58" s="2">
        <f t="shared" si="0"/>
        <v>57</v>
      </c>
      <c r="B58" t="s">
        <v>57</v>
      </c>
      <c r="C58" t="s">
        <v>82</v>
      </c>
      <c r="D58">
        <v>2011</v>
      </c>
      <c r="E58">
        <v>13</v>
      </c>
      <c r="F58">
        <v>1442</v>
      </c>
      <c r="G58">
        <v>611.89</v>
      </c>
    </row>
    <row r="59" spans="1:7">
      <c r="A59" s="2">
        <f t="shared" si="0"/>
        <v>58</v>
      </c>
      <c r="B59" t="s">
        <v>66</v>
      </c>
      <c r="C59" t="s">
        <v>94</v>
      </c>
      <c r="D59">
        <v>2017</v>
      </c>
      <c r="E59">
        <v>13</v>
      </c>
      <c r="F59">
        <v>1311</v>
      </c>
      <c r="G59">
        <v>947.79</v>
      </c>
    </row>
    <row r="60" spans="1:7">
      <c r="A60" s="2">
        <f t="shared" si="0"/>
        <v>59</v>
      </c>
      <c r="B60" t="s">
        <v>42</v>
      </c>
      <c r="C60" t="s">
        <v>91</v>
      </c>
      <c r="D60">
        <v>2007</v>
      </c>
      <c r="E60">
        <v>12</v>
      </c>
      <c r="F60">
        <v>1383</v>
      </c>
      <c r="G60">
        <v>311.86</v>
      </c>
    </row>
    <row r="61" spans="1:7">
      <c r="A61" s="2">
        <f t="shared" si="0"/>
        <v>60</v>
      </c>
      <c r="B61" t="s">
        <v>63</v>
      </c>
      <c r="C61" t="s">
        <v>79</v>
      </c>
      <c r="D61">
        <v>2017</v>
      </c>
      <c r="E61">
        <v>12</v>
      </c>
      <c r="F61">
        <v>1817</v>
      </c>
      <c r="G61">
        <v>1087.1400000000001</v>
      </c>
    </row>
    <row r="62" spans="1:7">
      <c r="A62" s="2">
        <f t="shared" si="0"/>
        <v>61</v>
      </c>
      <c r="B62" t="s">
        <v>76</v>
      </c>
      <c r="C62" t="s">
        <v>81</v>
      </c>
      <c r="D62">
        <v>2010</v>
      </c>
      <c r="E62">
        <v>12</v>
      </c>
      <c r="F62">
        <v>1552</v>
      </c>
      <c r="G62">
        <v>816.77</v>
      </c>
    </row>
    <row r="63" spans="1:7">
      <c r="A63" s="2">
        <f t="shared" si="0"/>
        <v>62</v>
      </c>
      <c r="B63" t="s">
        <v>68</v>
      </c>
      <c r="C63" t="s">
        <v>95</v>
      </c>
      <c r="D63">
        <v>2013</v>
      </c>
      <c r="E63">
        <v>10</v>
      </c>
      <c r="F63">
        <v>441</v>
      </c>
      <c r="G63">
        <v>824.99</v>
      </c>
    </row>
    <row r="64" spans="1:7">
      <c r="A64" s="2">
        <f t="shared" si="0"/>
        <v>63</v>
      </c>
      <c r="B64" t="s">
        <v>73</v>
      </c>
      <c r="C64" t="s">
        <v>86</v>
      </c>
      <c r="D64">
        <v>2009</v>
      </c>
      <c r="E64">
        <v>10</v>
      </c>
      <c r="F64">
        <v>1609</v>
      </c>
      <c r="G64">
        <v>998.66</v>
      </c>
    </row>
    <row r="65" spans="1:7">
      <c r="A65" s="2">
        <f t="shared" si="0"/>
        <v>64</v>
      </c>
      <c r="B65" t="s">
        <v>11</v>
      </c>
      <c r="C65" t="s">
        <v>81</v>
      </c>
      <c r="D65">
        <v>2017</v>
      </c>
      <c r="E65">
        <v>9.8000000000000007</v>
      </c>
      <c r="F65">
        <v>540</v>
      </c>
      <c r="G65">
        <v>266.41000000000003</v>
      </c>
    </row>
    <row r="66" spans="1:7">
      <c r="A66" s="2">
        <f t="shared" si="0"/>
        <v>65</v>
      </c>
      <c r="B66" t="s">
        <v>7</v>
      </c>
      <c r="C66" t="s">
        <v>77</v>
      </c>
      <c r="D66">
        <v>2016</v>
      </c>
      <c r="E66">
        <v>9.4</v>
      </c>
      <c r="F66">
        <v>687</v>
      </c>
      <c r="G66">
        <v>451.21</v>
      </c>
    </row>
    <row r="67" spans="1:7">
      <c r="A67" s="2">
        <f t="shared" ref="A67:A130" si="1">ROW(A66)</f>
        <v>66</v>
      </c>
      <c r="B67" t="s">
        <v>69</v>
      </c>
      <c r="C67" t="s">
        <v>96</v>
      </c>
      <c r="D67">
        <v>2015</v>
      </c>
      <c r="E67">
        <v>8</v>
      </c>
      <c r="F67">
        <v>665</v>
      </c>
      <c r="G67">
        <v>315.64999999999998</v>
      </c>
    </row>
    <row r="68" spans="1:7">
      <c r="A68" s="2">
        <f t="shared" si="1"/>
        <v>67</v>
      </c>
      <c r="B68" t="s">
        <v>75</v>
      </c>
      <c r="C68" t="s">
        <v>97</v>
      </c>
      <c r="D68">
        <v>2016</v>
      </c>
      <c r="E68">
        <v>8</v>
      </c>
      <c r="F68">
        <v>1318</v>
      </c>
      <c r="G68">
        <v>431.45</v>
      </c>
    </row>
    <row r="69" spans="1:7">
      <c r="A69" s="2">
        <f t="shared" si="1"/>
        <v>68</v>
      </c>
      <c r="B69" t="s">
        <v>14</v>
      </c>
      <c r="C69" t="s">
        <v>82</v>
      </c>
      <c r="D69">
        <v>2014</v>
      </c>
      <c r="E69">
        <v>7.3</v>
      </c>
      <c r="F69">
        <v>129</v>
      </c>
      <c r="G69">
        <v>563.15</v>
      </c>
    </row>
    <row r="70" spans="1:7">
      <c r="A70" s="2">
        <f t="shared" si="1"/>
        <v>69</v>
      </c>
      <c r="B70" t="s">
        <v>58</v>
      </c>
      <c r="C70" t="s">
        <v>77</v>
      </c>
      <c r="D70">
        <v>2011</v>
      </c>
      <c r="E70">
        <v>7</v>
      </c>
      <c r="F70">
        <v>567</v>
      </c>
      <c r="G70">
        <v>613.04</v>
      </c>
    </row>
    <row r="71" spans="1:7">
      <c r="A71" s="2">
        <f t="shared" si="1"/>
        <v>70</v>
      </c>
      <c r="B71" t="s">
        <v>13</v>
      </c>
      <c r="C71" t="s">
        <v>81</v>
      </c>
      <c r="D71">
        <v>2013</v>
      </c>
      <c r="E71">
        <v>4.2</v>
      </c>
      <c r="F71">
        <v>1053</v>
      </c>
      <c r="G71">
        <v>175.84</v>
      </c>
    </row>
    <row r="72" spans="1:7">
      <c r="A72" s="2">
        <f t="shared" si="1"/>
        <v>71</v>
      </c>
      <c r="B72" t="s">
        <v>98</v>
      </c>
      <c r="C72" t="s">
        <v>86</v>
      </c>
      <c r="D72">
        <v>2015</v>
      </c>
      <c r="E72">
        <v>14.2</v>
      </c>
      <c r="F72">
        <v>759</v>
      </c>
      <c r="G72">
        <v>1218.54</v>
      </c>
    </row>
    <row r="73" spans="1:7">
      <c r="A73" s="2">
        <f t="shared" si="1"/>
        <v>72</v>
      </c>
      <c r="B73" t="s">
        <v>99</v>
      </c>
      <c r="C73" t="s">
        <v>86</v>
      </c>
      <c r="D73">
        <v>2012</v>
      </c>
      <c r="E73">
        <v>9.3000000000000007</v>
      </c>
      <c r="F73">
        <v>256</v>
      </c>
      <c r="G73">
        <v>442.7</v>
      </c>
    </row>
    <row r="74" spans="1:7">
      <c r="A74" s="2">
        <f t="shared" si="1"/>
        <v>73</v>
      </c>
      <c r="B74" t="s">
        <v>100</v>
      </c>
      <c r="C74" t="s">
        <v>83</v>
      </c>
      <c r="D74">
        <v>2011</v>
      </c>
      <c r="E74">
        <v>13.1</v>
      </c>
      <c r="F74">
        <v>1959</v>
      </c>
      <c r="G74">
        <v>901.33</v>
      </c>
    </row>
    <row r="75" spans="1:7">
      <c r="A75" s="2">
        <f t="shared" si="1"/>
        <v>74</v>
      </c>
      <c r="B75" t="s">
        <v>101</v>
      </c>
      <c r="C75" t="s">
        <v>83</v>
      </c>
      <c r="D75">
        <v>2014</v>
      </c>
      <c r="E75">
        <v>13.7</v>
      </c>
      <c r="F75">
        <v>1120</v>
      </c>
      <c r="G75">
        <v>1075.55</v>
      </c>
    </row>
    <row r="76" spans="1:7">
      <c r="A76" s="2">
        <f t="shared" si="1"/>
        <v>75</v>
      </c>
      <c r="B76" t="s">
        <v>102</v>
      </c>
      <c r="C76" t="s">
        <v>77</v>
      </c>
      <c r="D76">
        <v>2011</v>
      </c>
      <c r="E76">
        <v>11.6</v>
      </c>
      <c r="F76">
        <v>1215</v>
      </c>
      <c r="G76">
        <v>462.46</v>
      </c>
    </row>
    <row r="77" spans="1:7">
      <c r="A77" s="2">
        <f t="shared" si="1"/>
        <v>76</v>
      </c>
      <c r="B77" t="s">
        <v>103</v>
      </c>
      <c r="C77" t="s">
        <v>77</v>
      </c>
      <c r="D77">
        <v>2015</v>
      </c>
      <c r="E77">
        <v>9.8000000000000007</v>
      </c>
      <c r="F77">
        <v>1081</v>
      </c>
      <c r="G77">
        <v>748.01</v>
      </c>
    </row>
    <row r="78" spans="1:7">
      <c r="A78" s="2">
        <f t="shared" si="1"/>
        <v>77</v>
      </c>
      <c r="B78" t="s">
        <v>104</v>
      </c>
      <c r="C78" t="s">
        <v>77</v>
      </c>
      <c r="D78">
        <v>2014</v>
      </c>
      <c r="E78">
        <v>11.3</v>
      </c>
      <c r="F78">
        <v>324</v>
      </c>
      <c r="G78">
        <v>870.92</v>
      </c>
    </row>
    <row r="79" spans="1:7">
      <c r="A79" s="2">
        <f t="shared" si="1"/>
        <v>78</v>
      </c>
      <c r="B79" t="s">
        <v>105</v>
      </c>
      <c r="C79" t="s">
        <v>77</v>
      </c>
      <c r="D79">
        <v>2013</v>
      </c>
      <c r="E79">
        <v>6.5</v>
      </c>
      <c r="F79">
        <v>1565</v>
      </c>
      <c r="G79">
        <v>179.61</v>
      </c>
    </row>
    <row r="80" spans="1:7">
      <c r="A80" s="2">
        <f t="shared" si="1"/>
        <v>79</v>
      </c>
      <c r="B80" t="s">
        <v>106</v>
      </c>
      <c r="C80" t="s">
        <v>97</v>
      </c>
      <c r="D80">
        <v>2015</v>
      </c>
      <c r="E80">
        <v>5.4</v>
      </c>
      <c r="F80">
        <v>1622</v>
      </c>
      <c r="G80">
        <v>483.48</v>
      </c>
    </row>
    <row r="81" spans="1:7">
      <c r="A81" s="2">
        <f t="shared" si="1"/>
        <v>80</v>
      </c>
      <c r="B81" t="s">
        <v>107</v>
      </c>
      <c r="C81" t="s">
        <v>97</v>
      </c>
      <c r="D81">
        <v>2016</v>
      </c>
      <c r="E81">
        <v>6.9</v>
      </c>
      <c r="F81">
        <v>107</v>
      </c>
      <c r="G81">
        <v>433</v>
      </c>
    </row>
    <row r="82" spans="1:7">
      <c r="A82" s="2">
        <f t="shared" si="1"/>
        <v>81</v>
      </c>
      <c r="B82" t="s">
        <v>108</v>
      </c>
      <c r="C82" t="s">
        <v>83</v>
      </c>
      <c r="D82">
        <v>2017</v>
      </c>
      <c r="E82">
        <v>6.8</v>
      </c>
      <c r="F82">
        <v>1071</v>
      </c>
      <c r="G82">
        <v>240.2</v>
      </c>
    </row>
    <row r="83" spans="1:7">
      <c r="A83" s="2">
        <f t="shared" si="1"/>
        <v>82</v>
      </c>
      <c r="B83" t="s">
        <v>109</v>
      </c>
      <c r="C83" t="s">
        <v>83</v>
      </c>
      <c r="D83">
        <v>2016</v>
      </c>
      <c r="E83">
        <v>8.1999999999999993</v>
      </c>
      <c r="F83">
        <v>1932</v>
      </c>
      <c r="G83">
        <v>281.82</v>
      </c>
    </row>
    <row r="84" spans="1:7">
      <c r="A84" s="2">
        <f t="shared" si="1"/>
        <v>83</v>
      </c>
      <c r="B84" t="s">
        <v>110</v>
      </c>
      <c r="C84" t="s">
        <v>83</v>
      </c>
      <c r="D84">
        <v>2015</v>
      </c>
      <c r="E84">
        <v>5.0999999999999996</v>
      </c>
      <c r="F84">
        <v>1051</v>
      </c>
      <c r="G84">
        <v>476.57</v>
      </c>
    </row>
    <row r="85" spans="1:7">
      <c r="A85" s="2">
        <f t="shared" si="1"/>
        <v>84</v>
      </c>
      <c r="B85" t="s">
        <v>111</v>
      </c>
      <c r="C85" t="s">
        <v>78</v>
      </c>
      <c r="D85">
        <v>2015</v>
      </c>
      <c r="E85">
        <v>23.5</v>
      </c>
      <c r="F85">
        <v>1945</v>
      </c>
      <c r="G85">
        <v>2129.65</v>
      </c>
    </row>
    <row r="86" spans="1:7">
      <c r="A86" s="2">
        <f t="shared" si="1"/>
        <v>85</v>
      </c>
      <c r="B86" t="s">
        <v>112</v>
      </c>
      <c r="C86" t="s">
        <v>78</v>
      </c>
      <c r="D86">
        <v>2016</v>
      </c>
      <c r="E86">
        <v>3.9</v>
      </c>
      <c r="F86">
        <v>700</v>
      </c>
      <c r="G86">
        <v>81.17</v>
      </c>
    </row>
    <row r="87" spans="1:7">
      <c r="A87" s="2">
        <f t="shared" si="1"/>
        <v>86</v>
      </c>
      <c r="B87" t="s">
        <v>113</v>
      </c>
      <c r="C87" t="s">
        <v>78</v>
      </c>
      <c r="D87">
        <v>2011</v>
      </c>
      <c r="E87">
        <v>3.3</v>
      </c>
      <c r="F87">
        <v>807</v>
      </c>
      <c r="G87">
        <v>268.51</v>
      </c>
    </row>
    <row r="88" spans="1:7">
      <c r="A88" s="2">
        <f t="shared" si="1"/>
        <v>87</v>
      </c>
      <c r="B88" t="s">
        <v>114</v>
      </c>
      <c r="C88" t="s">
        <v>78</v>
      </c>
      <c r="D88">
        <v>2011</v>
      </c>
      <c r="E88">
        <v>13.5</v>
      </c>
      <c r="F88">
        <v>1539</v>
      </c>
      <c r="G88">
        <v>1167.02</v>
      </c>
    </row>
    <row r="89" spans="1:7">
      <c r="A89" s="2">
        <f t="shared" si="1"/>
        <v>88</v>
      </c>
      <c r="B89" t="s">
        <v>115</v>
      </c>
      <c r="C89" t="s">
        <v>78</v>
      </c>
      <c r="D89">
        <v>2014</v>
      </c>
      <c r="E89">
        <v>11.4</v>
      </c>
      <c r="F89">
        <v>1180</v>
      </c>
      <c r="G89">
        <v>327.38</v>
      </c>
    </row>
    <row r="90" spans="1:7">
      <c r="A90" s="2">
        <f t="shared" si="1"/>
        <v>89</v>
      </c>
      <c r="B90" t="s">
        <v>116</v>
      </c>
      <c r="C90" t="s">
        <v>85</v>
      </c>
      <c r="D90">
        <v>2018</v>
      </c>
      <c r="E90">
        <v>16.2</v>
      </c>
      <c r="F90">
        <v>1898</v>
      </c>
      <c r="G90">
        <v>355.99</v>
      </c>
    </row>
    <row r="91" spans="1:7">
      <c r="A91" s="2">
        <f t="shared" si="1"/>
        <v>90</v>
      </c>
      <c r="B91" t="s">
        <v>117</v>
      </c>
      <c r="C91" t="s">
        <v>85</v>
      </c>
      <c r="D91">
        <v>2015</v>
      </c>
      <c r="E91">
        <v>4.5</v>
      </c>
      <c r="F91">
        <v>164</v>
      </c>
      <c r="G91">
        <v>280.5</v>
      </c>
    </row>
    <row r="92" spans="1:7">
      <c r="A92" s="2">
        <f t="shared" si="1"/>
        <v>91</v>
      </c>
      <c r="B92" t="s">
        <v>118</v>
      </c>
      <c r="C92" t="s">
        <v>82</v>
      </c>
      <c r="D92">
        <v>2014</v>
      </c>
      <c r="E92">
        <v>15.6</v>
      </c>
      <c r="F92">
        <v>1707</v>
      </c>
      <c r="G92">
        <v>586.54</v>
      </c>
    </row>
    <row r="93" spans="1:7">
      <c r="A93" s="2">
        <f t="shared" si="1"/>
        <v>92</v>
      </c>
      <c r="B93" t="s">
        <v>119</v>
      </c>
      <c r="C93" t="s">
        <v>82</v>
      </c>
      <c r="D93">
        <v>2015</v>
      </c>
      <c r="E93">
        <v>8.4</v>
      </c>
      <c r="F93">
        <v>1737</v>
      </c>
      <c r="G93">
        <v>210.46</v>
      </c>
    </row>
    <row r="94" spans="1:7">
      <c r="A94" s="2">
        <f t="shared" si="1"/>
        <v>93</v>
      </c>
      <c r="B94" t="s">
        <v>120</v>
      </c>
      <c r="C94" t="s">
        <v>82</v>
      </c>
      <c r="D94">
        <v>2013</v>
      </c>
      <c r="E94">
        <v>5.6</v>
      </c>
      <c r="F94">
        <v>1538</v>
      </c>
      <c r="G94">
        <v>210.4</v>
      </c>
    </row>
    <row r="95" spans="1:7">
      <c r="A95" s="2">
        <f t="shared" si="1"/>
        <v>94</v>
      </c>
      <c r="B95" t="s">
        <v>121</v>
      </c>
      <c r="C95" t="s">
        <v>82</v>
      </c>
      <c r="D95">
        <v>2015</v>
      </c>
      <c r="E95">
        <v>10.199999999999999</v>
      </c>
      <c r="F95">
        <v>363</v>
      </c>
      <c r="G95">
        <v>958.56</v>
      </c>
    </row>
    <row r="96" spans="1:7">
      <c r="A96" s="2">
        <f t="shared" si="1"/>
        <v>95</v>
      </c>
      <c r="B96" t="s">
        <v>122</v>
      </c>
      <c r="C96" t="s">
        <v>82</v>
      </c>
      <c r="D96">
        <v>2016</v>
      </c>
      <c r="E96">
        <v>6.3</v>
      </c>
      <c r="F96">
        <v>1696</v>
      </c>
      <c r="G96">
        <v>422.72</v>
      </c>
    </row>
    <row r="97" spans="1:7">
      <c r="A97" s="2">
        <f t="shared" si="1"/>
        <v>96</v>
      </c>
      <c r="B97" t="s">
        <v>123</v>
      </c>
      <c r="C97" t="s">
        <v>82</v>
      </c>
      <c r="D97">
        <v>2018</v>
      </c>
      <c r="E97">
        <v>3.8</v>
      </c>
      <c r="F97">
        <v>1217</v>
      </c>
      <c r="G97">
        <v>236.8</v>
      </c>
    </row>
    <row r="98" spans="1:7">
      <c r="A98" s="2">
        <f t="shared" si="1"/>
        <v>97</v>
      </c>
      <c r="B98" t="s">
        <v>124</v>
      </c>
      <c r="C98" t="s">
        <v>82</v>
      </c>
      <c r="D98">
        <v>2017</v>
      </c>
      <c r="E98">
        <v>4.0999999999999996</v>
      </c>
      <c r="F98">
        <v>526</v>
      </c>
      <c r="G98">
        <v>373.93</v>
      </c>
    </row>
    <row r="99" spans="1:7">
      <c r="A99" s="2">
        <f t="shared" si="1"/>
        <v>98</v>
      </c>
      <c r="B99" t="s">
        <v>125</v>
      </c>
      <c r="C99" t="s">
        <v>82</v>
      </c>
      <c r="D99">
        <v>2016</v>
      </c>
      <c r="E99">
        <v>12.3</v>
      </c>
      <c r="F99">
        <v>1956</v>
      </c>
      <c r="G99">
        <v>562.01</v>
      </c>
    </row>
    <row r="100" spans="1:7">
      <c r="A100" s="2">
        <f t="shared" si="1"/>
        <v>99</v>
      </c>
      <c r="B100" t="s">
        <v>126</v>
      </c>
      <c r="C100" t="s">
        <v>82</v>
      </c>
      <c r="D100">
        <v>2016</v>
      </c>
      <c r="E100">
        <v>23</v>
      </c>
      <c r="F100">
        <v>279</v>
      </c>
      <c r="G100">
        <v>1059.27</v>
      </c>
    </row>
    <row r="101" spans="1:7">
      <c r="A101" s="2">
        <f t="shared" si="1"/>
        <v>100</v>
      </c>
      <c r="B101" t="s">
        <v>127</v>
      </c>
      <c r="C101" t="s">
        <v>82</v>
      </c>
      <c r="D101">
        <v>2015</v>
      </c>
      <c r="E101">
        <v>4.4000000000000004</v>
      </c>
      <c r="F101">
        <v>1985</v>
      </c>
      <c r="G101">
        <v>263.73</v>
      </c>
    </row>
    <row r="102" spans="1:7">
      <c r="A102" s="2">
        <f t="shared" si="1"/>
        <v>101</v>
      </c>
      <c r="B102" t="s">
        <v>128</v>
      </c>
      <c r="C102" t="s">
        <v>82</v>
      </c>
      <c r="D102">
        <v>2013</v>
      </c>
      <c r="E102">
        <v>5.2</v>
      </c>
      <c r="F102">
        <v>1531</v>
      </c>
      <c r="G102">
        <v>154.63999999999999</v>
      </c>
    </row>
    <row r="103" spans="1:7">
      <c r="A103" s="2">
        <f t="shared" si="1"/>
        <v>102</v>
      </c>
      <c r="B103" t="s">
        <v>129</v>
      </c>
      <c r="C103" t="s">
        <v>82</v>
      </c>
      <c r="D103">
        <v>2016</v>
      </c>
      <c r="E103">
        <v>2.6</v>
      </c>
      <c r="F103">
        <v>1076</v>
      </c>
      <c r="G103">
        <v>137.65</v>
      </c>
    </row>
    <row r="104" spans="1:7">
      <c r="A104" s="2">
        <f t="shared" si="1"/>
        <v>103</v>
      </c>
      <c r="B104" t="s">
        <v>130</v>
      </c>
      <c r="C104" t="s">
        <v>82</v>
      </c>
      <c r="D104">
        <v>2015</v>
      </c>
      <c r="E104">
        <v>3.4</v>
      </c>
      <c r="F104">
        <v>1500</v>
      </c>
      <c r="G104">
        <v>274.2</v>
      </c>
    </row>
    <row r="105" spans="1:7">
      <c r="A105" s="2">
        <f t="shared" si="1"/>
        <v>104</v>
      </c>
      <c r="B105" t="s">
        <v>131</v>
      </c>
      <c r="C105" t="s">
        <v>82</v>
      </c>
      <c r="D105">
        <v>2017</v>
      </c>
      <c r="E105">
        <v>2.7</v>
      </c>
      <c r="F105">
        <v>1998</v>
      </c>
      <c r="G105">
        <v>183.34</v>
      </c>
    </row>
    <row r="106" spans="1:7">
      <c r="A106" s="2">
        <f t="shared" si="1"/>
        <v>105</v>
      </c>
      <c r="B106" t="s">
        <v>132</v>
      </c>
      <c r="C106" t="s">
        <v>82</v>
      </c>
      <c r="D106">
        <v>2014</v>
      </c>
      <c r="E106">
        <v>3.1</v>
      </c>
      <c r="F106">
        <v>1100</v>
      </c>
      <c r="G106">
        <v>269.19</v>
      </c>
    </row>
    <row r="107" spans="1:7">
      <c r="A107" s="2">
        <f t="shared" si="1"/>
        <v>106</v>
      </c>
      <c r="B107" t="s">
        <v>133</v>
      </c>
      <c r="C107" t="s">
        <v>82</v>
      </c>
      <c r="D107">
        <v>2018</v>
      </c>
      <c r="E107">
        <v>2.9</v>
      </c>
      <c r="F107">
        <v>710</v>
      </c>
      <c r="G107">
        <v>159.91</v>
      </c>
    </row>
    <row r="108" spans="1:7">
      <c r="A108" s="2">
        <f t="shared" si="1"/>
        <v>107</v>
      </c>
      <c r="B108" t="s">
        <v>134</v>
      </c>
      <c r="C108" t="s">
        <v>82</v>
      </c>
      <c r="D108">
        <v>2017</v>
      </c>
      <c r="E108">
        <v>6.7</v>
      </c>
      <c r="F108">
        <v>1180</v>
      </c>
      <c r="G108">
        <v>328.96</v>
      </c>
    </row>
    <row r="109" spans="1:7">
      <c r="A109" s="2">
        <f t="shared" si="1"/>
        <v>108</v>
      </c>
      <c r="B109" t="s">
        <v>135</v>
      </c>
      <c r="C109" t="s">
        <v>82</v>
      </c>
      <c r="D109">
        <v>2016</v>
      </c>
      <c r="E109">
        <v>3.9</v>
      </c>
      <c r="F109">
        <v>489</v>
      </c>
      <c r="G109">
        <v>88.46</v>
      </c>
    </row>
    <row r="110" spans="1:7">
      <c r="A110" s="2">
        <f t="shared" si="1"/>
        <v>109</v>
      </c>
      <c r="B110" t="s">
        <v>136</v>
      </c>
      <c r="C110" t="s">
        <v>82</v>
      </c>
      <c r="D110">
        <v>2017</v>
      </c>
      <c r="E110">
        <v>2.4</v>
      </c>
      <c r="F110">
        <v>921</v>
      </c>
      <c r="G110">
        <v>170.13</v>
      </c>
    </row>
    <row r="111" spans="1:7">
      <c r="A111" s="2">
        <f t="shared" si="1"/>
        <v>110</v>
      </c>
      <c r="B111" t="s">
        <v>137</v>
      </c>
      <c r="C111" t="s">
        <v>80</v>
      </c>
      <c r="D111">
        <v>2017</v>
      </c>
      <c r="E111">
        <v>5.0999999999999996</v>
      </c>
      <c r="F111">
        <v>1860</v>
      </c>
      <c r="G111">
        <v>173.38</v>
      </c>
    </row>
    <row r="112" spans="1:7">
      <c r="A112" s="2">
        <f t="shared" si="1"/>
        <v>111</v>
      </c>
      <c r="B112" t="s">
        <v>138</v>
      </c>
      <c r="C112" t="s">
        <v>80</v>
      </c>
      <c r="D112">
        <v>2018</v>
      </c>
      <c r="E112">
        <v>3.6</v>
      </c>
      <c r="F112">
        <v>214</v>
      </c>
      <c r="G112">
        <v>104.19</v>
      </c>
    </row>
    <row r="113" spans="1:7">
      <c r="A113" s="2">
        <f t="shared" si="1"/>
        <v>112</v>
      </c>
      <c r="B113" t="s">
        <v>139</v>
      </c>
      <c r="C113" t="s">
        <v>80</v>
      </c>
      <c r="D113">
        <v>2015</v>
      </c>
      <c r="E113">
        <v>6.8</v>
      </c>
      <c r="F113">
        <v>1992</v>
      </c>
      <c r="G113">
        <v>476.14</v>
      </c>
    </row>
    <row r="114" spans="1:7">
      <c r="A114" s="2">
        <f t="shared" si="1"/>
        <v>113</v>
      </c>
      <c r="B114" t="s">
        <v>140</v>
      </c>
      <c r="C114" t="s">
        <v>80</v>
      </c>
      <c r="D114">
        <v>2016</v>
      </c>
      <c r="E114">
        <v>4.2</v>
      </c>
      <c r="F114">
        <v>433</v>
      </c>
      <c r="G114">
        <v>406.08</v>
      </c>
    </row>
    <row r="115" spans="1:7">
      <c r="A115" s="2">
        <f t="shared" si="1"/>
        <v>114</v>
      </c>
      <c r="B115" t="s">
        <v>141</v>
      </c>
      <c r="C115" t="s">
        <v>80</v>
      </c>
      <c r="D115">
        <v>2014</v>
      </c>
      <c r="E115">
        <v>2.5</v>
      </c>
      <c r="F115">
        <v>1600</v>
      </c>
      <c r="G115">
        <v>232.99</v>
      </c>
    </row>
    <row r="116" spans="1:7">
      <c r="A116" s="2">
        <f t="shared" si="1"/>
        <v>115</v>
      </c>
      <c r="B116" t="s">
        <v>142</v>
      </c>
      <c r="C116" t="s">
        <v>80</v>
      </c>
      <c r="D116">
        <v>2016</v>
      </c>
      <c r="E116">
        <v>11.1</v>
      </c>
      <c r="F116">
        <v>757</v>
      </c>
      <c r="G116">
        <v>890.36</v>
      </c>
    </row>
    <row r="117" spans="1:7">
      <c r="A117" s="2">
        <f t="shared" si="1"/>
        <v>116</v>
      </c>
      <c r="B117" t="s">
        <v>143</v>
      </c>
      <c r="C117" t="s">
        <v>80</v>
      </c>
      <c r="D117">
        <v>2016</v>
      </c>
      <c r="E117">
        <v>29</v>
      </c>
      <c r="F117">
        <v>1009</v>
      </c>
      <c r="G117">
        <v>1328.92</v>
      </c>
    </row>
    <row r="118" spans="1:7">
      <c r="A118" s="2">
        <f t="shared" si="1"/>
        <v>117</v>
      </c>
      <c r="B118" t="s">
        <v>144</v>
      </c>
      <c r="C118" t="s">
        <v>80</v>
      </c>
      <c r="D118">
        <v>2015</v>
      </c>
      <c r="E118">
        <v>15.2</v>
      </c>
      <c r="F118">
        <v>521</v>
      </c>
      <c r="G118">
        <v>1369.68</v>
      </c>
    </row>
    <row r="119" spans="1:7">
      <c r="A119" s="2">
        <f t="shared" si="1"/>
        <v>118</v>
      </c>
      <c r="B119" t="s">
        <v>145</v>
      </c>
      <c r="C119" t="s">
        <v>80</v>
      </c>
      <c r="D119">
        <v>2016</v>
      </c>
      <c r="E119">
        <v>5.7</v>
      </c>
      <c r="F119">
        <v>277</v>
      </c>
      <c r="G119">
        <v>129.47</v>
      </c>
    </row>
    <row r="120" spans="1:7">
      <c r="A120" s="2">
        <f t="shared" si="1"/>
        <v>119</v>
      </c>
      <c r="B120" t="s">
        <v>146</v>
      </c>
      <c r="C120" t="s">
        <v>80</v>
      </c>
      <c r="D120">
        <v>2017</v>
      </c>
      <c r="E120">
        <v>12.3</v>
      </c>
      <c r="F120">
        <v>1953</v>
      </c>
      <c r="G120">
        <v>518.92999999999995</v>
      </c>
    </row>
    <row r="121" spans="1:7">
      <c r="A121" s="2">
        <f t="shared" si="1"/>
        <v>120</v>
      </c>
      <c r="B121" t="s">
        <v>147</v>
      </c>
      <c r="C121" t="s">
        <v>80</v>
      </c>
      <c r="D121">
        <v>2017</v>
      </c>
      <c r="E121">
        <v>11.5</v>
      </c>
      <c r="F121">
        <v>629</v>
      </c>
      <c r="G121">
        <v>719.05</v>
      </c>
    </row>
    <row r="122" spans="1:7">
      <c r="A122" s="2">
        <f t="shared" si="1"/>
        <v>121</v>
      </c>
      <c r="B122" t="s">
        <v>148</v>
      </c>
      <c r="C122" t="s">
        <v>80</v>
      </c>
      <c r="D122">
        <v>2019</v>
      </c>
      <c r="E122">
        <v>1.8</v>
      </c>
      <c r="F122">
        <v>1430</v>
      </c>
      <c r="G122">
        <v>89.24</v>
      </c>
    </row>
    <row r="123" spans="1:7">
      <c r="A123" s="2">
        <f t="shared" si="1"/>
        <v>122</v>
      </c>
      <c r="B123" t="s">
        <v>149</v>
      </c>
      <c r="C123" t="s">
        <v>88</v>
      </c>
      <c r="D123">
        <v>2015</v>
      </c>
      <c r="E123">
        <v>14.4</v>
      </c>
      <c r="F123">
        <v>1386</v>
      </c>
      <c r="G123">
        <v>921.55</v>
      </c>
    </row>
    <row r="124" spans="1:7">
      <c r="A124" s="2">
        <f t="shared" si="1"/>
        <v>123</v>
      </c>
      <c r="B124" t="s">
        <v>150</v>
      </c>
      <c r="C124" t="s">
        <v>88</v>
      </c>
      <c r="D124">
        <v>2017</v>
      </c>
      <c r="E124">
        <v>12.8</v>
      </c>
      <c r="F124">
        <v>255</v>
      </c>
      <c r="G124">
        <v>504.97</v>
      </c>
    </row>
    <row r="125" spans="1:7">
      <c r="A125" s="2">
        <f t="shared" si="1"/>
        <v>124</v>
      </c>
      <c r="B125" t="s">
        <v>151</v>
      </c>
      <c r="C125" t="s">
        <v>88</v>
      </c>
      <c r="D125">
        <v>2018</v>
      </c>
      <c r="E125">
        <v>36</v>
      </c>
      <c r="F125">
        <v>781</v>
      </c>
      <c r="G125">
        <v>2785.58</v>
      </c>
    </row>
    <row r="126" spans="1:7">
      <c r="A126" s="2">
        <f t="shared" si="1"/>
        <v>125</v>
      </c>
      <c r="B126" t="s">
        <v>152</v>
      </c>
      <c r="C126" t="s">
        <v>88</v>
      </c>
      <c r="D126">
        <v>2016</v>
      </c>
      <c r="E126">
        <v>13.7</v>
      </c>
      <c r="F126">
        <v>768</v>
      </c>
      <c r="G126">
        <v>840.85</v>
      </c>
    </row>
    <row r="127" spans="1:7">
      <c r="A127" s="2">
        <f t="shared" si="1"/>
        <v>126</v>
      </c>
      <c r="B127" t="s">
        <v>153</v>
      </c>
      <c r="C127" t="s">
        <v>88</v>
      </c>
      <c r="D127">
        <v>2018</v>
      </c>
      <c r="E127">
        <v>3.5</v>
      </c>
      <c r="F127">
        <v>1088</v>
      </c>
      <c r="G127">
        <v>240.11</v>
      </c>
    </row>
    <row r="128" spans="1:7">
      <c r="A128" s="2">
        <f t="shared" si="1"/>
        <v>127</v>
      </c>
      <c r="B128" t="s">
        <v>154</v>
      </c>
      <c r="C128" t="s">
        <v>88</v>
      </c>
      <c r="D128">
        <v>2018</v>
      </c>
      <c r="E128">
        <v>13</v>
      </c>
      <c r="F128">
        <v>1922</v>
      </c>
      <c r="G128">
        <v>505.83</v>
      </c>
    </row>
    <row r="129" spans="1:7">
      <c r="A129" s="2">
        <f t="shared" si="1"/>
        <v>128</v>
      </c>
      <c r="B129" t="s">
        <v>155</v>
      </c>
      <c r="C129" t="s">
        <v>88</v>
      </c>
      <c r="D129">
        <v>2018</v>
      </c>
      <c r="E129">
        <v>4.8</v>
      </c>
      <c r="F129">
        <v>678</v>
      </c>
      <c r="G129">
        <v>287.05</v>
      </c>
    </row>
    <row r="130" spans="1:7">
      <c r="A130" s="2">
        <f t="shared" si="1"/>
        <v>129</v>
      </c>
      <c r="B130" t="s">
        <v>156</v>
      </c>
      <c r="C130" t="s">
        <v>88</v>
      </c>
      <c r="D130">
        <v>2017</v>
      </c>
      <c r="E130">
        <v>6.1</v>
      </c>
      <c r="F130">
        <v>682</v>
      </c>
      <c r="G130">
        <v>512.96</v>
      </c>
    </row>
    <row r="131" spans="1:7">
      <c r="A131" s="2">
        <f t="shared" ref="A131:A154" si="2">ROW(A130)</f>
        <v>130</v>
      </c>
      <c r="B131" t="s">
        <v>157</v>
      </c>
      <c r="C131" t="s">
        <v>88</v>
      </c>
      <c r="D131">
        <v>2016</v>
      </c>
      <c r="E131">
        <v>10.3</v>
      </c>
      <c r="F131">
        <v>1282</v>
      </c>
      <c r="G131">
        <v>617.49</v>
      </c>
    </row>
    <row r="132" spans="1:7">
      <c r="A132" s="2">
        <f t="shared" si="2"/>
        <v>131</v>
      </c>
      <c r="B132" t="s">
        <v>158</v>
      </c>
      <c r="C132" t="s">
        <v>88</v>
      </c>
      <c r="D132">
        <v>2017</v>
      </c>
      <c r="E132">
        <v>11.6</v>
      </c>
      <c r="F132">
        <v>1457</v>
      </c>
      <c r="G132">
        <v>406.85</v>
      </c>
    </row>
    <row r="133" spans="1:7">
      <c r="A133" s="2">
        <f t="shared" si="2"/>
        <v>132</v>
      </c>
      <c r="B133" t="s">
        <v>159</v>
      </c>
      <c r="C133" t="s">
        <v>81</v>
      </c>
      <c r="D133">
        <v>2019</v>
      </c>
      <c r="E133">
        <v>3.4</v>
      </c>
      <c r="F133">
        <v>708</v>
      </c>
      <c r="G133">
        <v>234.64</v>
      </c>
    </row>
    <row r="134" spans="1:7">
      <c r="A134" s="2">
        <f t="shared" si="2"/>
        <v>133</v>
      </c>
      <c r="B134" t="s">
        <v>160</v>
      </c>
      <c r="C134" t="s">
        <v>77</v>
      </c>
      <c r="D134">
        <v>2016</v>
      </c>
      <c r="E134">
        <v>4.0999999999999996</v>
      </c>
      <c r="F134">
        <v>1468</v>
      </c>
      <c r="G134">
        <v>269.73</v>
      </c>
    </row>
    <row r="135" spans="1:7">
      <c r="A135" s="2">
        <f t="shared" si="2"/>
        <v>134</v>
      </c>
      <c r="B135" t="s">
        <v>161</v>
      </c>
      <c r="C135" t="s">
        <v>82</v>
      </c>
      <c r="D135">
        <v>2019</v>
      </c>
      <c r="E135">
        <v>3.7</v>
      </c>
      <c r="F135">
        <v>1606</v>
      </c>
      <c r="G135">
        <v>156.71</v>
      </c>
    </row>
    <row r="136" spans="1:7">
      <c r="A136" s="2">
        <f t="shared" si="2"/>
        <v>135</v>
      </c>
      <c r="B136" t="s">
        <v>162</v>
      </c>
      <c r="C136" t="s">
        <v>82</v>
      </c>
      <c r="D136">
        <v>2020</v>
      </c>
      <c r="E136">
        <v>4.9000000000000004</v>
      </c>
      <c r="F136">
        <v>1550</v>
      </c>
      <c r="G136">
        <v>177.45</v>
      </c>
    </row>
    <row r="137" spans="1:7">
      <c r="A137" s="2">
        <f t="shared" si="2"/>
        <v>136</v>
      </c>
      <c r="B137" t="s">
        <v>163</v>
      </c>
      <c r="C137" t="s">
        <v>79</v>
      </c>
      <c r="D137">
        <v>2014</v>
      </c>
      <c r="E137">
        <v>13</v>
      </c>
      <c r="F137">
        <v>1922</v>
      </c>
      <c r="G137">
        <v>425.33</v>
      </c>
    </row>
    <row r="138" spans="1:7">
      <c r="A138" s="2">
        <f t="shared" si="2"/>
        <v>137</v>
      </c>
      <c r="B138" t="s">
        <v>164</v>
      </c>
      <c r="C138" t="s">
        <v>77</v>
      </c>
      <c r="D138">
        <v>2015</v>
      </c>
      <c r="E138">
        <v>3.6</v>
      </c>
      <c r="F138">
        <v>154</v>
      </c>
      <c r="G138">
        <v>125.43</v>
      </c>
    </row>
    <row r="139" spans="1:7">
      <c r="A139" s="2">
        <f t="shared" si="2"/>
        <v>138</v>
      </c>
      <c r="B139" t="s">
        <v>165</v>
      </c>
      <c r="C139" t="s">
        <v>79</v>
      </c>
      <c r="D139">
        <v>2014</v>
      </c>
      <c r="E139">
        <v>2.9</v>
      </c>
      <c r="F139">
        <v>587</v>
      </c>
      <c r="G139">
        <v>178.12</v>
      </c>
    </row>
    <row r="140" spans="1:7">
      <c r="A140" s="2">
        <f t="shared" si="2"/>
        <v>139</v>
      </c>
      <c r="B140" t="s">
        <v>166</v>
      </c>
      <c r="C140" t="s">
        <v>87</v>
      </c>
      <c r="D140">
        <v>2020</v>
      </c>
      <c r="E140">
        <v>1.5</v>
      </c>
      <c r="F140">
        <v>1103</v>
      </c>
      <c r="G140">
        <v>69.97</v>
      </c>
    </row>
    <row r="141" spans="1:7">
      <c r="A141" s="2">
        <f t="shared" si="2"/>
        <v>140</v>
      </c>
      <c r="B141" t="s">
        <v>167</v>
      </c>
      <c r="C141" t="s">
        <v>86</v>
      </c>
      <c r="D141">
        <v>2015</v>
      </c>
      <c r="E141">
        <v>38</v>
      </c>
      <c r="F141">
        <v>322</v>
      </c>
      <c r="G141">
        <v>3187.55</v>
      </c>
    </row>
    <row r="142" spans="1:7">
      <c r="A142" s="2">
        <f t="shared" si="2"/>
        <v>141</v>
      </c>
      <c r="B142" t="s">
        <v>168</v>
      </c>
      <c r="C142" t="s">
        <v>86</v>
      </c>
      <c r="D142">
        <v>2016</v>
      </c>
      <c r="E142">
        <v>28</v>
      </c>
      <c r="F142">
        <v>1762</v>
      </c>
      <c r="G142">
        <v>1491.95</v>
      </c>
    </row>
    <row r="143" spans="1:7">
      <c r="A143" s="2">
        <f t="shared" si="2"/>
        <v>142</v>
      </c>
      <c r="B143" t="s">
        <v>169</v>
      </c>
      <c r="C143" t="s">
        <v>87</v>
      </c>
      <c r="D143">
        <v>2018</v>
      </c>
      <c r="E143">
        <v>2.1</v>
      </c>
      <c r="F143">
        <v>1100</v>
      </c>
      <c r="G143">
        <v>103.21</v>
      </c>
    </row>
    <row r="144" spans="1:7">
      <c r="A144" s="2">
        <f t="shared" si="2"/>
        <v>143</v>
      </c>
      <c r="B144" t="s">
        <v>170</v>
      </c>
      <c r="C144" t="s">
        <v>85</v>
      </c>
      <c r="D144">
        <v>2013</v>
      </c>
      <c r="E144">
        <v>21</v>
      </c>
      <c r="F144">
        <v>596</v>
      </c>
      <c r="G144">
        <v>426.97</v>
      </c>
    </row>
    <row r="145" spans="1:7">
      <c r="A145" s="2">
        <f t="shared" si="2"/>
        <v>144</v>
      </c>
      <c r="B145" t="s">
        <v>171</v>
      </c>
      <c r="C145" t="s">
        <v>172</v>
      </c>
      <c r="D145">
        <v>2016</v>
      </c>
      <c r="E145">
        <v>1.6</v>
      </c>
      <c r="F145">
        <v>680</v>
      </c>
      <c r="G145">
        <v>112.9</v>
      </c>
    </row>
    <row r="146" spans="1:7">
      <c r="A146" s="2">
        <f t="shared" si="2"/>
        <v>145</v>
      </c>
      <c r="B146" t="s">
        <v>173</v>
      </c>
      <c r="C146" t="s">
        <v>90</v>
      </c>
      <c r="D146">
        <v>2013</v>
      </c>
      <c r="E146">
        <v>1.9</v>
      </c>
      <c r="F146">
        <v>1076</v>
      </c>
      <c r="G146">
        <v>88.3</v>
      </c>
    </row>
    <row r="147" spans="1:7">
      <c r="A147" s="2">
        <f t="shared" si="2"/>
        <v>146</v>
      </c>
      <c r="B147" t="s">
        <v>174</v>
      </c>
      <c r="C147" t="s">
        <v>77</v>
      </c>
      <c r="D147">
        <v>2021</v>
      </c>
      <c r="E147">
        <v>0.8</v>
      </c>
      <c r="F147">
        <v>377</v>
      </c>
      <c r="G147">
        <v>24.68</v>
      </c>
    </row>
    <row r="148" spans="1:7">
      <c r="A148" s="2">
        <f t="shared" si="2"/>
        <v>147</v>
      </c>
      <c r="B148" t="s">
        <v>175</v>
      </c>
      <c r="C148" t="s">
        <v>176</v>
      </c>
      <c r="D148">
        <v>2018</v>
      </c>
      <c r="E148">
        <v>1.1000000000000001</v>
      </c>
      <c r="F148">
        <v>836</v>
      </c>
      <c r="G148">
        <v>61.32</v>
      </c>
    </row>
    <row r="149" spans="1:7">
      <c r="A149" s="2">
        <f t="shared" si="2"/>
        <v>148</v>
      </c>
      <c r="B149" t="s">
        <v>177</v>
      </c>
      <c r="C149" t="s">
        <v>79</v>
      </c>
      <c r="D149">
        <v>2013</v>
      </c>
      <c r="E149">
        <v>10.3</v>
      </c>
      <c r="F149">
        <v>940</v>
      </c>
      <c r="G149">
        <v>435.56</v>
      </c>
    </row>
    <row r="150" spans="1:7">
      <c r="A150" s="2">
        <f t="shared" si="2"/>
        <v>149</v>
      </c>
      <c r="B150" t="s">
        <v>178</v>
      </c>
      <c r="C150" t="s">
        <v>85</v>
      </c>
      <c r="D150">
        <v>2018</v>
      </c>
      <c r="E150">
        <v>2.5</v>
      </c>
      <c r="F150">
        <v>138</v>
      </c>
      <c r="G150">
        <v>63.53</v>
      </c>
    </row>
    <row r="151" spans="1:7">
      <c r="A151" s="2">
        <f t="shared" si="2"/>
        <v>150</v>
      </c>
      <c r="B151" t="s">
        <v>179</v>
      </c>
      <c r="C151" t="s">
        <v>82</v>
      </c>
      <c r="D151">
        <v>2020</v>
      </c>
      <c r="E151">
        <v>2.1</v>
      </c>
      <c r="F151">
        <v>116</v>
      </c>
      <c r="G151">
        <v>57.06</v>
      </c>
    </row>
    <row r="152" spans="1:7">
      <c r="A152" s="2">
        <f t="shared" si="2"/>
        <v>151</v>
      </c>
      <c r="B152" t="s">
        <v>180</v>
      </c>
      <c r="C152" t="s">
        <v>82</v>
      </c>
      <c r="D152">
        <v>2020</v>
      </c>
      <c r="E152">
        <v>2.9</v>
      </c>
      <c r="F152">
        <v>635</v>
      </c>
      <c r="G152">
        <v>235.19</v>
      </c>
    </row>
    <row r="153" spans="1:7">
      <c r="A153" s="2">
        <f t="shared" si="2"/>
        <v>152</v>
      </c>
      <c r="B153" t="s">
        <v>181</v>
      </c>
      <c r="C153" t="s">
        <v>82</v>
      </c>
      <c r="D153">
        <v>2017</v>
      </c>
      <c r="E153">
        <v>3.6</v>
      </c>
      <c r="F153">
        <v>1369</v>
      </c>
      <c r="G153">
        <v>121.4</v>
      </c>
    </row>
    <row r="154" spans="1:7">
      <c r="A154" s="2">
        <f t="shared" si="2"/>
        <v>153</v>
      </c>
      <c r="B154" t="s">
        <v>182</v>
      </c>
      <c r="C154" t="s">
        <v>82</v>
      </c>
      <c r="D154">
        <v>2019</v>
      </c>
      <c r="E154">
        <v>1.2</v>
      </c>
      <c r="F154">
        <v>1113</v>
      </c>
      <c r="G154">
        <v>40.1</v>
      </c>
    </row>
    <row r="155" spans="1:7">
      <c r="A155" s="2">
        <v>134</v>
      </c>
      <c r="B155" s="2" t="s">
        <v>183</v>
      </c>
      <c r="C155" s="2" t="s">
        <v>80</v>
      </c>
      <c r="D155" s="2">
        <v>2012</v>
      </c>
      <c r="E155" s="2">
        <v>7.5</v>
      </c>
      <c r="F155" s="2">
        <v>841</v>
      </c>
      <c r="G155" s="2">
        <v>205.65</v>
      </c>
    </row>
    <row r="156" spans="1:7">
      <c r="A156" s="2">
        <v>135</v>
      </c>
      <c r="B156" s="2" t="s">
        <v>184</v>
      </c>
      <c r="C156" s="2" t="s">
        <v>84</v>
      </c>
      <c r="D156" s="2">
        <v>2015</v>
      </c>
      <c r="E156" s="2">
        <v>1.3</v>
      </c>
      <c r="F156" s="2">
        <v>272</v>
      </c>
      <c r="G156" s="2">
        <v>85.42</v>
      </c>
    </row>
    <row r="157" spans="1:7">
      <c r="A157" s="2">
        <v>136</v>
      </c>
      <c r="B157" s="2" t="s">
        <v>185</v>
      </c>
      <c r="C157" s="2" t="s">
        <v>78</v>
      </c>
      <c r="D157" s="2">
        <v>2020</v>
      </c>
      <c r="E157" s="2">
        <v>3.1</v>
      </c>
      <c r="F157" s="2">
        <v>1448</v>
      </c>
      <c r="G157" s="2">
        <v>177.3</v>
      </c>
    </row>
    <row r="158" spans="1:7">
      <c r="A158" s="2">
        <v>137</v>
      </c>
      <c r="B158" s="2" t="s">
        <v>186</v>
      </c>
      <c r="C158" s="2" t="s">
        <v>88</v>
      </c>
      <c r="D158" s="2">
        <v>2012</v>
      </c>
      <c r="E158" s="2">
        <v>11.4</v>
      </c>
      <c r="F158" s="2">
        <v>220</v>
      </c>
      <c r="G158" s="2">
        <v>480.04</v>
      </c>
    </row>
    <row r="159" spans="1:7">
      <c r="A159" s="2">
        <v>138</v>
      </c>
      <c r="B159" s="2" t="s">
        <v>187</v>
      </c>
      <c r="C159" s="2" t="s">
        <v>79</v>
      </c>
      <c r="D159" s="2">
        <v>2018</v>
      </c>
      <c r="E159" s="2">
        <v>6</v>
      </c>
      <c r="F159" s="2">
        <v>745</v>
      </c>
      <c r="G159" s="2">
        <v>465.19</v>
      </c>
    </row>
    <row r="160" spans="1:7">
      <c r="A160" s="2">
        <v>139</v>
      </c>
      <c r="B160" s="2" t="s">
        <v>188</v>
      </c>
      <c r="C160" s="2" t="s">
        <v>88</v>
      </c>
      <c r="D160" s="2">
        <v>2021</v>
      </c>
      <c r="E160" s="2">
        <v>7.8</v>
      </c>
      <c r="F160" s="2">
        <v>469</v>
      </c>
      <c r="G160" s="2">
        <v>167.77</v>
      </c>
    </row>
    <row r="161" spans="1:7">
      <c r="A161" s="2">
        <v>140</v>
      </c>
      <c r="B161" s="2" t="s">
        <v>189</v>
      </c>
      <c r="C161" s="2" t="s">
        <v>84</v>
      </c>
      <c r="D161" s="2">
        <v>2021</v>
      </c>
      <c r="E161" s="2">
        <v>2.2999999999999998</v>
      </c>
      <c r="F161" s="2">
        <v>443</v>
      </c>
      <c r="G161" s="2">
        <v>50.77</v>
      </c>
    </row>
    <row r="162" spans="1:7">
      <c r="A162" s="2">
        <v>141</v>
      </c>
      <c r="B162" s="2" t="s">
        <v>190</v>
      </c>
      <c r="C162" s="2" t="s">
        <v>85</v>
      </c>
      <c r="D162" s="2">
        <v>2020</v>
      </c>
      <c r="E162" s="2">
        <v>3.4</v>
      </c>
      <c r="F162" s="2">
        <v>707</v>
      </c>
      <c r="G162" s="2">
        <v>224.6</v>
      </c>
    </row>
    <row r="163" spans="1:7">
      <c r="A163" s="2">
        <v>142</v>
      </c>
      <c r="B163" s="2" t="s">
        <v>191</v>
      </c>
      <c r="C163" s="2" t="s">
        <v>78</v>
      </c>
      <c r="D163" s="2">
        <v>2017</v>
      </c>
      <c r="E163" s="2">
        <v>9.8000000000000007</v>
      </c>
      <c r="F163" s="2">
        <v>324</v>
      </c>
      <c r="G163" s="2">
        <v>753.68</v>
      </c>
    </row>
    <row r="164" spans="1:7">
      <c r="A164" s="2">
        <v>143</v>
      </c>
      <c r="B164" s="2" t="s">
        <v>192</v>
      </c>
      <c r="C164" s="2" t="s">
        <v>97</v>
      </c>
      <c r="D164" s="2">
        <v>2012</v>
      </c>
      <c r="E164" s="2">
        <v>9.6</v>
      </c>
      <c r="F164" s="2">
        <v>379</v>
      </c>
      <c r="G164" s="2">
        <v>229.75</v>
      </c>
    </row>
    <row r="165" spans="1:7">
      <c r="A165" s="2">
        <v>144</v>
      </c>
      <c r="B165" s="2" t="s">
        <v>193</v>
      </c>
      <c r="C165" s="2" t="s">
        <v>81</v>
      </c>
      <c r="D165" s="2">
        <v>2016</v>
      </c>
      <c r="E165" s="2">
        <v>14.7</v>
      </c>
      <c r="F165" s="2">
        <v>881</v>
      </c>
      <c r="G165" s="2">
        <v>1101.02</v>
      </c>
    </row>
    <row r="166" spans="1:7">
      <c r="A166" s="2">
        <v>145</v>
      </c>
      <c r="B166" s="2" t="s">
        <v>194</v>
      </c>
      <c r="C166" s="2" t="s">
        <v>88</v>
      </c>
      <c r="D166" s="2">
        <v>2013</v>
      </c>
      <c r="E166" s="2">
        <v>14.7</v>
      </c>
      <c r="F166" s="2">
        <v>394</v>
      </c>
      <c r="G166" s="2">
        <v>828.15</v>
      </c>
    </row>
    <row r="167" spans="1:7">
      <c r="A167" s="2">
        <v>146</v>
      </c>
      <c r="B167" s="2" t="s">
        <v>195</v>
      </c>
      <c r="C167" s="2" t="s">
        <v>82</v>
      </c>
      <c r="D167" s="2">
        <v>2016</v>
      </c>
      <c r="E167" s="2">
        <v>11.1</v>
      </c>
      <c r="F167" s="2">
        <v>810</v>
      </c>
      <c r="G167" s="2">
        <v>437.58</v>
      </c>
    </row>
    <row r="168" spans="1:7">
      <c r="A168" s="2">
        <v>147</v>
      </c>
      <c r="B168" s="2" t="s">
        <v>196</v>
      </c>
      <c r="C168" s="2" t="s">
        <v>97</v>
      </c>
      <c r="D168" s="2">
        <v>2022</v>
      </c>
      <c r="E168" s="2">
        <v>8.5</v>
      </c>
      <c r="F168" s="2">
        <v>1019</v>
      </c>
      <c r="G168" s="2">
        <v>404.04</v>
      </c>
    </row>
    <row r="169" spans="1:7">
      <c r="A169" s="2">
        <v>148</v>
      </c>
      <c r="B169" s="2" t="s">
        <v>197</v>
      </c>
      <c r="C169" s="2" t="s">
        <v>77</v>
      </c>
      <c r="D169" s="2">
        <v>2018</v>
      </c>
      <c r="E169" s="2">
        <v>7.3</v>
      </c>
      <c r="F169" s="2">
        <v>1493</v>
      </c>
      <c r="G169" s="2">
        <v>437.52</v>
      </c>
    </row>
    <row r="170" spans="1:7">
      <c r="A170" s="2">
        <v>149</v>
      </c>
      <c r="B170" s="2" t="s">
        <v>198</v>
      </c>
      <c r="C170" s="2" t="s">
        <v>77</v>
      </c>
      <c r="D170" s="2">
        <v>2020</v>
      </c>
      <c r="E170" s="2">
        <v>0.7</v>
      </c>
      <c r="F170" s="2">
        <v>298</v>
      </c>
      <c r="G170" s="2">
        <v>47.41</v>
      </c>
    </row>
    <row r="171" spans="1:7">
      <c r="A171" s="2">
        <v>150</v>
      </c>
      <c r="B171" s="2" t="s">
        <v>199</v>
      </c>
      <c r="C171" s="2" t="s">
        <v>85</v>
      </c>
      <c r="D171" s="2">
        <v>2019</v>
      </c>
      <c r="E171" s="2">
        <v>7.1</v>
      </c>
      <c r="F171" s="2">
        <v>408</v>
      </c>
      <c r="G171" s="2">
        <v>331.86</v>
      </c>
    </row>
    <row r="172" spans="1:7">
      <c r="A172" s="2">
        <v>151</v>
      </c>
      <c r="B172" s="2" t="s">
        <v>200</v>
      </c>
      <c r="C172" s="2" t="s">
        <v>97</v>
      </c>
      <c r="D172" s="2">
        <v>2022</v>
      </c>
      <c r="E172" s="2">
        <v>0.9</v>
      </c>
      <c r="F172" s="2">
        <v>1425</v>
      </c>
      <c r="G172" s="2">
        <v>34.299999999999997</v>
      </c>
    </row>
    <row r="173" spans="1:7">
      <c r="A173" s="2">
        <v>152</v>
      </c>
      <c r="B173" s="2" t="s">
        <v>201</v>
      </c>
      <c r="C173" s="2" t="s">
        <v>82</v>
      </c>
      <c r="D173" s="2">
        <v>2016</v>
      </c>
      <c r="E173" s="2">
        <v>11.5</v>
      </c>
      <c r="F173" s="2">
        <v>741</v>
      </c>
      <c r="G173" s="2">
        <v>735.58</v>
      </c>
    </row>
    <row r="174" spans="1:7">
      <c r="A174" s="2">
        <v>153</v>
      </c>
      <c r="B174" s="2" t="s">
        <v>202</v>
      </c>
      <c r="C174" s="2" t="s">
        <v>79</v>
      </c>
      <c r="D174" s="2">
        <v>2018</v>
      </c>
      <c r="E174" s="2">
        <v>4.7</v>
      </c>
      <c r="F174" s="2">
        <v>1133</v>
      </c>
      <c r="G174" s="2">
        <v>163.21</v>
      </c>
    </row>
    <row r="175" spans="1:7">
      <c r="A175" s="2">
        <v>154</v>
      </c>
      <c r="B175" s="2" t="s">
        <v>203</v>
      </c>
      <c r="C175" s="2" t="s">
        <v>84</v>
      </c>
      <c r="D175" s="2">
        <v>2018</v>
      </c>
      <c r="E175" s="2">
        <v>7.1</v>
      </c>
      <c r="F175" s="2">
        <v>386</v>
      </c>
      <c r="G175" s="2">
        <v>220.09</v>
      </c>
    </row>
    <row r="176" spans="1:7">
      <c r="A176" s="2">
        <v>155</v>
      </c>
      <c r="B176" s="2" t="s">
        <v>204</v>
      </c>
      <c r="C176" s="2" t="s">
        <v>82</v>
      </c>
      <c r="D176" s="2">
        <v>2018</v>
      </c>
      <c r="E176" s="2">
        <v>7.9</v>
      </c>
      <c r="F176" s="2">
        <v>175</v>
      </c>
      <c r="G176" s="2">
        <v>513.49</v>
      </c>
    </row>
    <row r="177" spans="1:7">
      <c r="A177" s="2">
        <v>156</v>
      </c>
      <c r="B177" s="2" t="s">
        <v>205</v>
      </c>
      <c r="C177" s="2" t="s">
        <v>85</v>
      </c>
      <c r="D177" s="2">
        <v>2016</v>
      </c>
      <c r="E177" s="2">
        <v>6.6</v>
      </c>
      <c r="F177" s="2">
        <v>811</v>
      </c>
      <c r="G177" s="2">
        <v>250.67</v>
      </c>
    </row>
    <row r="178" spans="1:7">
      <c r="A178" s="2">
        <v>157</v>
      </c>
      <c r="B178" s="2" t="s">
        <v>206</v>
      </c>
      <c r="C178" s="2" t="s">
        <v>88</v>
      </c>
      <c r="D178" s="2">
        <v>2020</v>
      </c>
      <c r="E178" s="2">
        <v>5.0999999999999996</v>
      </c>
      <c r="F178" s="2">
        <v>1149</v>
      </c>
      <c r="G178" s="2">
        <v>370.22</v>
      </c>
    </row>
    <row r="179" spans="1:7">
      <c r="A179" s="2">
        <v>158</v>
      </c>
      <c r="B179" s="2" t="s">
        <v>207</v>
      </c>
      <c r="C179" s="2" t="s">
        <v>81</v>
      </c>
      <c r="D179" s="2">
        <v>2022</v>
      </c>
      <c r="E179" s="2">
        <v>10.3</v>
      </c>
      <c r="F179" s="2">
        <v>847</v>
      </c>
      <c r="G179" s="2">
        <v>610.12</v>
      </c>
    </row>
    <row r="180" spans="1:7">
      <c r="A180" s="2">
        <v>159</v>
      </c>
      <c r="B180" s="2" t="s">
        <v>208</v>
      </c>
      <c r="C180" s="2" t="s">
        <v>97</v>
      </c>
      <c r="D180" s="2">
        <v>2015</v>
      </c>
      <c r="E180" s="2">
        <v>8.6</v>
      </c>
      <c r="F180" s="2">
        <v>286</v>
      </c>
      <c r="G180" s="2">
        <v>260.13</v>
      </c>
    </row>
    <row r="181" spans="1:7">
      <c r="A181" s="2">
        <v>160</v>
      </c>
      <c r="B181" s="2" t="s">
        <v>209</v>
      </c>
      <c r="C181" s="2" t="s">
        <v>97</v>
      </c>
      <c r="D181" s="2">
        <v>2023</v>
      </c>
      <c r="E181" s="2">
        <v>6</v>
      </c>
      <c r="F181" s="2">
        <v>1396</v>
      </c>
      <c r="G181" s="2">
        <v>175.86</v>
      </c>
    </row>
    <row r="182" spans="1:7">
      <c r="A182" s="2">
        <v>161</v>
      </c>
      <c r="B182" s="2" t="s">
        <v>210</v>
      </c>
      <c r="C182" s="2" t="s">
        <v>85</v>
      </c>
      <c r="D182" s="2">
        <v>2014</v>
      </c>
      <c r="E182" s="2">
        <v>5.0999999999999996</v>
      </c>
      <c r="F182" s="2">
        <v>919</v>
      </c>
      <c r="G182" s="2">
        <v>331.53</v>
      </c>
    </row>
    <row r="183" spans="1:7">
      <c r="A183" s="2">
        <v>162</v>
      </c>
      <c r="B183" s="2" t="s">
        <v>211</v>
      </c>
      <c r="C183" s="2" t="s">
        <v>79</v>
      </c>
      <c r="D183" s="2">
        <v>2018</v>
      </c>
      <c r="E183" s="2">
        <v>7</v>
      </c>
      <c r="F183" s="2">
        <v>392</v>
      </c>
      <c r="G183" s="2">
        <v>209.01</v>
      </c>
    </row>
    <row r="184" spans="1:7">
      <c r="A184" s="2">
        <v>163</v>
      </c>
      <c r="B184" s="2" t="s">
        <v>212</v>
      </c>
      <c r="C184" s="2" t="s">
        <v>97</v>
      </c>
      <c r="D184" s="2">
        <v>2023</v>
      </c>
      <c r="E184" s="2">
        <v>13.6</v>
      </c>
      <c r="F184" s="2">
        <v>380</v>
      </c>
      <c r="G184" s="2">
        <v>699.54</v>
      </c>
    </row>
    <row r="185" spans="1:7">
      <c r="A185" s="2">
        <v>164</v>
      </c>
      <c r="B185" s="2" t="s">
        <v>213</v>
      </c>
      <c r="C185" s="2" t="s">
        <v>83</v>
      </c>
      <c r="D185" s="2">
        <v>2014</v>
      </c>
      <c r="E185" s="2">
        <v>6.2</v>
      </c>
      <c r="F185" s="2">
        <v>1114</v>
      </c>
      <c r="G185" s="2">
        <v>517.52</v>
      </c>
    </row>
    <row r="186" spans="1:7">
      <c r="A186" s="2">
        <v>165</v>
      </c>
      <c r="B186" s="2" t="s">
        <v>214</v>
      </c>
      <c r="C186" s="2" t="s">
        <v>85</v>
      </c>
      <c r="D186" s="2">
        <v>2012</v>
      </c>
      <c r="E186" s="2">
        <v>11.6</v>
      </c>
      <c r="F186" s="2">
        <v>873</v>
      </c>
      <c r="G186" s="2">
        <v>717.75</v>
      </c>
    </row>
    <row r="187" spans="1:7">
      <c r="A187" s="2">
        <v>166</v>
      </c>
      <c r="B187" s="2" t="s">
        <v>215</v>
      </c>
      <c r="C187" s="2" t="s">
        <v>77</v>
      </c>
      <c r="D187" s="2">
        <v>2020</v>
      </c>
      <c r="E187" s="2">
        <v>6.6</v>
      </c>
      <c r="F187" s="2">
        <v>790</v>
      </c>
      <c r="G187" s="2">
        <v>358.69</v>
      </c>
    </row>
    <row r="188" spans="1:7">
      <c r="A188" s="2">
        <v>167</v>
      </c>
      <c r="B188" s="2" t="s">
        <v>216</v>
      </c>
      <c r="C188" s="2" t="s">
        <v>82</v>
      </c>
      <c r="D188" s="2">
        <v>2014</v>
      </c>
      <c r="E188" s="2">
        <v>9.6999999999999993</v>
      </c>
      <c r="F188" s="2">
        <v>1429</v>
      </c>
      <c r="G188" s="2">
        <v>410.68</v>
      </c>
    </row>
    <row r="189" spans="1:7">
      <c r="A189" s="2">
        <v>168</v>
      </c>
      <c r="B189" s="2" t="s">
        <v>217</v>
      </c>
      <c r="C189" s="2" t="s">
        <v>80</v>
      </c>
      <c r="D189" s="2">
        <v>2016</v>
      </c>
      <c r="E189" s="2">
        <v>12.7</v>
      </c>
      <c r="F189" s="2">
        <v>1364</v>
      </c>
      <c r="G189" s="2">
        <v>717.33</v>
      </c>
    </row>
    <row r="190" spans="1:7">
      <c r="A190" s="2">
        <v>169</v>
      </c>
      <c r="B190" s="2" t="s">
        <v>218</v>
      </c>
      <c r="C190" s="2" t="s">
        <v>77</v>
      </c>
      <c r="D190" s="2">
        <v>2013</v>
      </c>
      <c r="E190" s="2">
        <v>6.1</v>
      </c>
      <c r="F190" s="2">
        <v>389</v>
      </c>
      <c r="G190" s="2">
        <v>436.03</v>
      </c>
    </row>
    <row r="191" spans="1:7">
      <c r="A191" s="2">
        <v>170</v>
      </c>
      <c r="B191" s="2" t="s">
        <v>219</v>
      </c>
      <c r="C191" s="2" t="s">
        <v>79</v>
      </c>
      <c r="D191" s="2">
        <v>2013</v>
      </c>
      <c r="E191" s="2">
        <v>6.9</v>
      </c>
      <c r="F191" s="2">
        <v>847</v>
      </c>
      <c r="G191" s="2">
        <v>404.44</v>
      </c>
    </row>
    <row r="192" spans="1:7">
      <c r="A192" s="2">
        <v>171</v>
      </c>
      <c r="B192" s="2" t="s">
        <v>220</v>
      </c>
      <c r="C192" s="2" t="s">
        <v>80</v>
      </c>
      <c r="D192" s="2">
        <v>2013</v>
      </c>
      <c r="E192" s="2">
        <v>4.5999999999999996</v>
      </c>
      <c r="F192" s="2">
        <v>1015</v>
      </c>
      <c r="G192" s="2">
        <v>247.11</v>
      </c>
    </row>
    <row r="193" spans="1:7">
      <c r="A193" s="2">
        <v>172</v>
      </c>
      <c r="B193" s="2" t="s">
        <v>221</v>
      </c>
      <c r="C193" s="2" t="s">
        <v>78</v>
      </c>
      <c r="D193" s="2">
        <v>2017</v>
      </c>
      <c r="E193" s="2">
        <v>13</v>
      </c>
      <c r="F193" s="2">
        <v>594</v>
      </c>
      <c r="G193" s="2">
        <v>534.30999999999995</v>
      </c>
    </row>
    <row r="194" spans="1:7">
      <c r="A194" s="2">
        <v>173</v>
      </c>
      <c r="B194" s="2" t="s">
        <v>222</v>
      </c>
      <c r="C194" s="2" t="s">
        <v>83</v>
      </c>
      <c r="D194" s="2">
        <v>2020</v>
      </c>
      <c r="E194" s="2">
        <v>8.4</v>
      </c>
      <c r="F194" s="2">
        <v>1466</v>
      </c>
      <c r="G194" s="2">
        <v>345.28</v>
      </c>
    </row>
    <row r="195" spans="1:7">
      <c r="A195" s="2">
        <v>174</v>
      </c>
      <c r="B195" s="2" t="s">
        <v>223</v>
      </c>
      <c r="C195" s="2" t="s">
        <v>97</v>
      </c>
      <c r="D195" s="2">
        <v>2019</v>
      </c>
      <c r="E195" s="2">
        <v>2.7</v>
      </c>
      <c r="F195" s="2">
        <v>1132</v>
      </c>
      <c r="G195" s="2">
        <v>211.25</v>
      </c>
    </row>
    <row r="196" spans="1:7">
      <c r="A196" s="2">
        <v>175</v>
      </c>
      <c r="B196" s="2" t="s">
        <v>224</v>
      </c>
      <c r="C196" s="2" t="s">
        <v>84</v>
      </c>
      <c r="D196" s="2">
        <v>2023</v>
      </c>
      <c r="E196" s="2">
        <v>2.2000000000000002</v>
      </c>
      <c r="F196" s="2">
        <v>753</v>
      </c>
      <c r="G196" s="2">
        <v>62.82</v>
      </c>
    </row>
    <row r="197" spans="1:7">
      <c r="A197" s="2">
        <v>176</v>
      </c>
      <c r="B197" s="2" t="s">
        <v>225</v>
      </c>
      <c r="C197" s="2" t="s">
        <v>82</v>
      </c>
      <c r="D197" s="2">
        <v>2012</v>
      </c>
      <c r="E197" s="2">
        <v>5.9</v>
      </c>
      <c r="F197" s="2">
        <v>800</v>
      </c>
      <c r="G197" s="2">
        <v>344.51</v>
      </c>
    </row>
    <row r="198" spans="1:7">
      <c r="A198" s="2">
        <v>177</v>
      </c>
      <c r="B198" s="2" t="s">
        <v>226</v>
      </c>
      <c r="C198" s="2" t="s">
        <v>97</v>
      </c>
      <c r="D198" s="2">
        <v>2019</v>
      </c>
      <c r="E198" s="2">
        <v>8.1999999999999993</v>
      </c>
      <c r="F198" s="2">
        <v>927</v>
      </c>
      <c r="G198" s="2">
        <v>388.95</v>
      </c>
    </row>
    <row r="199" spans="1:7">
      <c r="A199" s="2">
        <v>178</v>
      </c>
      <c r="B199" s="2" t="s">
        <v>227</v>
      </c>
      <c r="C199" s="2" t="s">
        <v>79</v>
      </c>
      <c r="D199" s="2">
        <v>2018</v>
      </c>
      <c r="E199" s="2">
        <v>10.6</v>
      </c>
      <c r="F199" s="2">
        <v>556</v>
      </c>
      <c r="G199" s="2">
        <v>556.64</v>
      </c>
    </row>
    <row r="200" spans="1:7">
      <c r="A200" s="2">
        <v>179</v>
      </c>
      <c r="B200" s="2" t="s">
        <v>228</v>
      </c>
      <c r="C200" s="2" t="s">
        <v>82</v>
      </c>
      <c r="D200" s="2">
        <v>2020</v>
      </c>
      <c r="E200" s="2">
        <v>7.2</v>
      </c>
      <c r="F200" s="2">
        <v>323</v>
      </c>
      <c r="G200" s="2">
        <v>218.82</v>
      </c>
    </row>
    <row r="201" spans="1:7">
      <c r="A201" s="2">
        <v>180</v>
      </c>
      <c r="B201" s="2" t="s">
        <v>229</v>
      </c>
      <c r="C201" s="2" t="s">
        <v>79</v>
      </c>
      <c r="D201" s="2">
        <v>2021</v>
      </c>
      <c r="E201" s="2">
        <v>13.6</v>
      </c>
      <c r="F201" s="2">
        <v>1308</v>
      </c>
      <c r="G201" s="2">
        <v>842.33</v>
      </c>
    </row>
    <row r="202" spans="1:7">
      <c r="A202" s="2">
        <v>181</v>
      </c>
      <c r="B202" s="2" t="s">
        <v>230</v>
      </c>
      <c r="C202" s="2" t="s">
        <v>88</v>
      </c>
      <c r="D202" s="2">
        <v>2022</v>
      </c>
      <c r="E202" s="2">
        <v>14.8</v>
      </c>
      <c r="F202" s="2">
        <v>263</v>
      </c>
      <c r="G202" s="2">
        <v>836.22</v>
      </c>
    </row>
    <row r="203" spans="1:7">
      <c r="A203" s="2">
        <v>182</v>
      </c>
      <c r="B203" s="2" t="s">
        <v>231</v>
      </c>
      <c r="C203" s="2" t="s">
        <v>78</v>
      </c>
      <c r="D203" s="2">
        <v>2018</v>
      </c>
      <c r="E203" s="2">
        <v>10</v>
      </c>
      <c r="F203" s="2">
        <v>521</v>
      </c>
      <c r="G203" s="2">
        <v>342.39</v>
      </c>
    </row>
    <row r="204" spans="1:7">
      <c r="A204" s="2">
        <v>183</v>
      </c>
      <c r="B204" s="2" t="s">
        <v>232</v>
      </c>
      <c r="C204" s="2" t="s">
        <v>78</v>
      </c>
      <c r="D204" s="2">
        <v>2012</v>
      </c>
      <c r="E204" s="2">
        <v>9.3000000000000007</v>
      </c>
      <c r="F204" s="2">
        <v>1463</v>
      </c>
      <c r="G204" s="2">
        <v>361.48</v>
      </c>
    </row>
    <row r="205" spans="1:7">
      <c r="A205" s="2">
        <v>184</v>
      </c>
      <c r="B205" s="2" t="s">
        <v>233</v>
      </c>
      <c r="C205" s="2" t="s">
        <v>82</v>
      </c>
      <c r="D205" s="2">
        <v>2018</v>
      </c>
      <c r="E205" s="2">
        <v>2.5</v>
      </c>
      <c r="F205" s="2">
        <v>751</v>
      </c>
      <c r="G205" s="2">
        <v>144.05000000000001</v>
      </c>
    </row>
    <row r="206" spans="1:7">
      <c r="A206" s="2">
        <v>185</v>
      </c>
      <c r="B206" s="2" t="s">
        <v>234</v>
      </c>
      <c r="C206" s="2" t="s">
        <v>86</v>
      </c>
      <c r="D206" s="2">
        <v>2023</v>
      </c>
      <c r="E206" s="2">
        <v>8.8000000000000007</v>
      </c>
      <c r="F206" s="2">
        <v>285</v>
      </c>
      <c r="G206" s="2">
        <v>754.63</v>
      </c>
    </row>
    <row r="207" spans="1:7">
      <c r="A207" s="2">
        <v>186</v>
      </c>
      <c r="B207" s="2" t="s">
        <v>235</v>
      </c>
      <c r="C207" s="2" t="s">
        <v>97</v>
      </c>
      <c r="D207" s="2">
        <v>2016</v>
      </c>
      <c r="E207" s="2">
        <v>1.2</v>
      </c>
      <c r="F207" s="2">
        <v>667</v>
      </c>
      <c r="G207" s="2">
        <v>97.24</v>
      </c>
    </row>
    <row r="208" spans="1:7">
      <c r="A208" s="2">
        <v>187</v>
      </c>
      <c r="B208" s="2" t="s">
        <v>236</v>
      </c>
      <c r="C208" s="2" t="s">
        <v>80</v>
      </c>
      <c r="D208" s="2">
        <v>2012</v>
      </c>
      <c r="E208" s="2">
        <v>3.6</v>
      </c>
      <c r="F208" s="2">
        <v>1016</v>
      </c>
      <c r="G208" s="2">
        <v>219.14</v>
      </c>
    </row>
    <row r="209" spans="1:7">
      <c r="A209" s="2">
        <v>188</v>
      </c>
      <c r="B209" s="2" t="s">
        <v>237</v>
      </c>
      <c r="C209" s="2" t="s">
        <v>83</v>
      </c>
      <c r="D209" s="2">
        <v>2013</v>
      </c>
      <c r="E209" s="2">
        <v>1.1000000000000001</v>
      </c>
      <c r="F209" s="2">
        <v>1439</v>
      </c>
      <c r="G209" s="2">
        <v>56.39</v>
      </c>
    </row>
    <row r="210" spans="1:7">
      <c r="A210" s="2">
        <v>189</v>
      </c>
      <c r="B210" s="2" t="s">
        <v>238</v>
      </c>
      <c r="C210" s="2" t="s">
        <v>85</v>
      </c>
      <c r="D210" s="2">
        <v>2023</v>
      </c>
      <c r="E210" s="2">
        <v>6.4</v>
      </c>
      <c r="F210" s="2">
        <v>279</v>
      </c>
      <c r="G210" s="2">
        <v>386.47</v>
      </c>
    </row>
    <row r="211" spans="1:7">
      <c r="A211" s="2">
        <v>190</v>
      </c>
      <c r="B211" s="2" t="s">
        <v>239</v>
      </c>
      <c r="C211" s="2" t="s">
        <v>79</v>
      </c>
      <c r="D211" s="2">
        <v>2022</v>
      </c>
      <c r="E211" s="2">
        <v>1.5</v>
      </c>
      <c r="F211" s="2">
        <v>1436</v>
      </c>
      <c r="G211" s="2">
        <v>83.6</v>
      </c>
    </row>
    <row r="212" spans="1:7">
      <c r="A212" s="2">
        <v>191</v>
      </c>
      <c r="B212" s="2" t="s">
        <v>240</v>
      </c>
      <c r="C212" s="2" t="s">
        <v>82</v>
      </c>
      <c r="D212" s="2">
        <v>2019</v>
      </c>
      <c r="E212" s="2">
        <v>11.4</v>
      </c>
      <c r="F212" s="2">
        <v>1293</v>
      </c>
      <c r="G212" s="2">
        <v>755.41</v>
      </c>
    </row>
    <row r="213" spans="1:7">
      <c r="A213" s="2">
        <v>192</v>
      </c>
      <c r="B213" s="2" t="s">
        <v>241</v>
      </c>
      <c r="C213" s="2" t="s">
        <v>78</v>
      </c>
      <c r="D213" s="2">
        <v>2014</v>
      </c>
      <c r="E213" s="2">
        <v>10.4</v>
      </c>
      <c r="F213" s="2">
        <v>1489</v>
      </c>
      <c r="G213" s="2">
        <v>863.44</v>
      </c>
    </row>
    <row r="214" spans="1:7">
      <c r="A214" s="2">
        <v>193</v>
      </c>
      <c r="B214" s="2" t="s">
        <v>242</v>
      </c>
      <c r="C214" s="2" t="s">
        <v>88</v>
      </c>
      <c r="D214" s="2">
        <v>2016</v>
      </c>
      <c r="E214" s="2">
        <v>6.3</v>
      </c>
      <c r="F214" s="2">
        <v>829</v>
      </c>
      <c r="G214" s="2">
        <v>205.45</v>
      </c>
    </row>
    <row r="215" spans="1:7">
      <c r="A215" s="2">
        <v>194</v>
      </c>
      <c r="B215" s="2" t="s">
        <v>243</v>
      </c>
      <c r="C215" s="2" t="s">
        <v>85</v>
      </c>
      <c r="D215" s="2">
        <v>2021</v>
      </c>
      <c r="E215" s="2">
        <v>1.1000000000000001</v>
      </c>
      <c r="F215" s="2">
        <v>335</v>
      </c>
      <c r="G215" s="2">
        <v>55.87</v>
      </c>
    </row>
    <row r="216" spans="1:7">
      <c r="A216" s="2">
        <v>195</v>
      </c>
      <c r="B216" s="2" t="s">
        <v>244</v>
      </c>
      <c r="C216" s="2" t="s">
        <v>84</v>
      </c>
      <c r="D216" s="2">
        <v>2017</v>
      </c>
      <c r="E216" s="2">
        <v>5.6</v>
      </c>
      <c r="F216" s="2">
        <v>714</v>
      </c>
      <c r="G216" s="2">
        <v>187.94</v>
      </c>
    </row>
    <row r="217" spans="1:7">
      <c r="A217" s="2">
        <v>196</v>
      </c>
      <c r="B217" s="2" t="s">
        <v>245</v>
      </c>
      <c r="C217" s="2" t="s">
        <v>78</v>
      </c>
      <c r="D217" s="2">
        <v>2019</v>
      </c>
      <c r="E217" s="2">
        <v>6.5</v>
      </c>
      <c r="F217" s="2">
        <v>164</v>
      </c>
      <c r="G217" s="2">
        <v>565.39</v>
      </c>
    </row>
    <row r="218" spans="1:7">
      <c r="A218" s="2">
        <v>197</v>
      </c>
      <c r="B218" s="2" t="s">
        <v>246</v>
      </c>
      <c r="C218" s="2" t="s">
        <v>80</v>
      </c>
      <c r="D218" s="2">
        <v>2018</v>
      </c>
      <c r="E218" s="2">
        <v>7.7</v>
      </c>
      <c r="F218" s="2">
        <v>761</v>
      </c>
      <c r="G218" s="2">
        <v>632.61</v>
      </c>
    </row>
    <row r="219" spans="1:7">
      <c r="A219" s="2">
        <v>198</v>
      </c>
      <c r="B219" s="2" t="s">
        <v>247</v>
      </c>
      <c r="C219" s="2" t="s">
        <v>82</v>
      </c>
      <c r="D219" s="2">
        <v>2020</v>
      </c>
      <c r="E219" s="2">
        <v>13.3</v>
      </c>
      <c r="F219" s="2">
        <v>929</v>
      </c>
      <c r="G219" s="2">
        <v>463.69</v>
      </c>
    </row>
    <row r="220" spans="1:7">
      <c r="A220" s="2">
        <v>199</v>
      </c>
      <c r="B220" s="2" t="s">
        <v>248</v>
      </c>
      <c r="C220" s="2" t="s">
        <v>97</v>
      </c>
      <c r="D220" s="2">
        <v>2019</v>
      </c>
      <c r="E220" s="2">
        <v>10.3</v>
      </c>
      <c r="F220" s="2">
        <v>1413</v>
      </c>
      <c r="G220" s="2">
        <v>238.3</v>
      </c>
    </row>
    <row r="221" spans="1:7">
      <c r="A221" s="2">
        <v>200</v>
      </c>
      <c r="B221" s="2" t="s">
        <v>249</v>
      </c>
      <c r="C221" s="2" t="s">
        <v>79</v>
      </c>
      <c r="D221" s="2">
        <v>2022</v>
      </c>
      <c r="E221" s="2">
        <v>11.1</v>
      </c>
      <c r="F221" s="2">
        <v>655</v>
      </c>
      <c r="G221" s="2">
        <v>400.75</v>
      </c>
    </row>
    <row r="222" spans="1:7">
      <c r="A222" s="2">
        <v>201</v>
      </c>
      <c r="B222" s="2" t="s">
        <v>250</v>
      </c>
      <c r="C222" s="2" t="s">
        <v>79</v>
      </c>
      <c r="D222" s="2">
        <v>2021</v>
      </c>
      <c r="E222" s="2">
        <v>2.1</v>
      </c>
      <c r="F222" s="2">
        <v>1190</v>
      </c>
      <c r="G222" s="2">
        <v>136.08000000000001</v>
      </c>
    </row>
    <row r="223" spans="1:7">
      <c r="A223" s="2">
        <v>202</v>
      </c>
      <c r="B223" s="2" t="s">
        <v>251</v>
      </c>
      <c r="C223" s="2" t="s">
        <v>82</v>
      </c>
      <c r="D223" s="2">
        <v>2014</v>
      </c>
      <c r="E223" s="2">
        <v>14.5</v>
      </c>
      <c r="F223" s="2">
        <v>657</v>
      </c>
      <c r="G223" s="2">
        <v>750.76</v>
      </c>
    </row>
    <row r="224" spans="1:7">
      <c r="A224" s="2">
        <v>203</v>
      </c>
      <c r="B224" s="2" t="s">
        <v>252</v>
      </c>
      <c r="C224" s="2" t="s">
        <v>84</v>
      </c>
      <c r="D224" s="2">
        <v>2021</v>
      </c>
      <c r="E224" s="2">
        <v>13.9</v>
      </c>
      <c r="F224" s="2">
        <v>841</v>
      </c>
      <c r="G224" s="2">
        <v>451.21</v>
      </c>
    </row>
    <row r="225" spans="1:7">
      <c r="A225" s="2">
        <v>204</v>
      </c>
      <c r="B225" s="2" t="s">
        <v>253</v>
      </c>
      <c r="C225" s="2" t="s">
        <v>84</v>
      </c>
      <c r="D225" s="2">
        <v>2018</v>
      </c>
      <c r="E225" s="2">
        <v>4.5999999999999996</v>
      </c>
      <c r="F225" s="2">
        <v>1004</v>
      </c>
      <c r="G225" s="2">
        <v>177.46</v>
      </c>
    </row>
    <row r="226" spans="1:7">
      <c r="A226" s="2">
        <v>205</v>
      </c>
      <c r="B226" s="2" t="s">
        <v>254</v>
      </c>
      <c r="C226" s="2" t="s">
        <v>77</v>
      </c>
      <c r="D226" s="2">
        <v>2017</v>
      </c>
      <c r="E226" s="2">
        <v>6.6</v>
      </c>
      <c r="F226" s="2">
        <v>213</v>
      </c>
      <c r="G226" s="2">
        <v>495.96</v>
      </c>
    </row>
    <row r="227" spans="1:7">
      <c r="A227" s="2">
        <v>206</v>
      </c>
      <c r="B227" s="2" t="s">
        <v>255</v>
      </c>
      <c r="C227" s="2" t="s">
        <v>81</v>
      </c>
      <c r="D227" s="2">
        <v>2013</v>
      </c>
      <c r="E227" s="2">
        <v>7.1</v>
      </c>
      <c r="F227" s="2">
        <v>799</v>
      </c>
      <c r="G227" s="2">
        <v>480.16</v>
      </c>
    </row>
    <row r="228" spans="1:7">
      <c r="A228" s="2">
        <v>207</v>
      </c>
      <c r="B228" s="2" t="s">
        <v>256</v>
      </c>
      <c r="C228" s="2" t="s">
        <v>81</v>
      </c>
      <c r="D228" s="2">
        <v>2018</v>
      </c>
      <c r="E228" s="2">
        <v>7.7</v>
      </c>
      <c r="F228" s="2">
        <v>729</v>
      </c>
      <c r="G228" s="2">
        <v>552.26</v>
      </c>
    </row>
    <row r="229" spans="1:7">
      <c r="A229" s="2">
        <v>208</v>
      </c>
      <c r="B229" s="2" t="s">
        <v>257</v>
      </c>
      <c r="C229" s="2" t="s">
        <v>82</v>
      </c>
      <c r="D229" s="2">
        <v>2021</v>
      </c>
      <c r="E229" s="2">
        <v>6.9</v>
      </c>
      <c r="F229" s="2">
        <v>879</v>
      </c>
      <c r="G229" s="2">
        <v>515.48</v>
      </c>
    </row>
    <row r="230" spans="1:7">
      <c r="A230" s="2">
        <v>209</v>
      </c>
      <c r="B230" s="2" t="s">
        <v>258</v>
      </c>
      <c r="C230" s="2" t="s">
        <v>78</v>
      </c>
      <c r="D230" s="2">
        <v>2013</v>
      </c>
      <c r="E230" s="2">
        <v>3.4</v>
      </c>
      <c r="F230" s="2">
        <v>982</v>
      </c>
      <c r="G230" s="2">
        <v>133.83000000000001</v>
      </c>
    </row>
    <row r="231" spans="1:7">
      <c r="A231" s="2">
        <v>210</v>
      </c>
      <c r="B231" s="2" t="s">
        <v>259</v>
      </c>
      <c r="C231" s="2" t="s">
        <v>88</v>
      </c>
      <c r="D231" s="2">
        <v>2015</v>
      </c>
      <c r="E231" s="2">
        <v>13.8</v>
      </c>
      <c r="F231" s="2">
        <v>776</v>
      </c>
      <c r="G231" s="2">
        <v>312.75</v>
      </c>
    </row>
    <row r="232" spans="1:7">
      <c r="A232" s="2">
        <v>211</v>
      </c>
      <c r="B232" s="2" t="s">
        <v>260</v>
      </c>
      <c r="C232" s="2" t="s">
        <v>80</v>
      </c>
      <c r="D232" s="2">
        <v>2021</v>
      </c>
      <c r="E232" s="2">
        <v>9</v>
      </c>
      <c r="F232" s="2">
        <v>941</v>
      </c>
      <c r="G232" s="2">
        <v>315</v>
      </c>
    </row>
    <row r="233" spans="1:7">
      <c r="A233" s="2">
        <v>212</v>
      </c>
      <c r="B233" s="2" t="s">
        <v>261</v>
      </c>
      <c r="C233" s="2" t="s">
        <v>78</v>
      </c>
      <c r="D233" s="2">
        <v>2012</v>
      </c>
      <c r="E233" s="2">
        <v>4.3</v>
      </c>
      <c r="F233" s="2">
        <v>741</v>
      </c>
      <c r="G233" s="2">
        <v>198.11</v>
      </c>
    </row>
    <row r="234" spans="1:7">
      <c r="A234" s="2">
        <v>213</v>
      </c>
      <c r="B234" s="2" t="s">
        <v>262</v>
      </c>
      <c r="C234" s="2" t="s">
        <v>77</v>
      </c>
      <c r="D234" s="2">
        <v>2022</v>
      </c>
      <c r="E234" s="2">
        <v>5.7</v>
      </c>
      <c r="F234" s="2">
        <v>305</v>
      </c>
      <c r="G234" s="2">
        <v>378.95</v>
      </c>
    </row>
    <row r="235" spans="1:7">
      <c r="A235" s="2">
        <v>214</v>
      </c>
      <c r="B235" s="2" t="s">
        <v>263</v>
      </c>
      <c r="C235" s="2" t="s">
        <v>85</v>
      </c>
      <c r="D235" s="2">
        <v>2017</v>
      </c>
      <c r="E235" s="2">
        <v>1.2</v>
      </c>
      <c r="F235" s="2">
        <v>1054</v>
      </c>
      <c r="G235" s="2">
        <v>40.14</v>
      </c>
    </row>
    <row r="236" spans="1:7">
      <c r="A236" s="2">
        <v>215</v>
      </c>
      <c r="B236" s="2" t="s">
        <v>264</v>
      </c>
      <c r="C236" s="2" t="s">
        <v>84</v>
      </c>
      <c r="D236" s="2">
        <v>2015</v>
      </c>
      <c r="E236" s="2">
        <v>8.8000000000000007</v>
      </c>
      <c r="F236" s="2">
        <v>396</v>
      </c>
      <c r="G236" s="2">
        <v>560.96</v>
      </c>
    </row>
    <row r="237" spans="1:7">
      <c r="A237" s="2">
        <v>216</v>
      </c>
      <c r="B237" s="2" t="s">
        <v>265</v>
      </c>
      <c r="C237" s="2" t="s">
        <v>97</v>
      </c>
      <c r="D237" s="2">
        <v>2022</v>
      </c>
      <c r="E237" s="2">
        <v>10.3</v>
      </c>
      <c r="F237" s="2">
        <v>1311</v>
      </c>
      <c r="G237" s="2">
        <v>885.43</v>
      </c>
    </row>
    <row r="238" spans="1:7">
      <c r="A238" s="2">
        <v>217</v>
      </c>
      <c r="B238" s="2" t="s">
        <v>266</v>
      </c>
      <c r="C238" s="2" t="s">
        <v>85</v>
      </c>
      <c r="D238" s="2">
        <v>2021</v>
      </c>
      <c r="E238" s="2">
        <v>8.4</v>
      </c>
      <c r="F238" s="2">
        <v>147</v>
      </c>
      <c r="G238" s="2">
        <v>382.35</v>
      </c>
    </row>
    <row r="239" spans="1:7">
      <c r="A239" s="2">
        <v>218</v>
      </c>
      <c r="B239" s="2" t="s">
        <v>267</v>
      </c>
      <c r="C239" s="2" t="s">
        <v>80</v>
      </c>
      <c r="D239" s="2">
        <v>2019</v>
      </c>
      <c r="E239" s="2">
        <v>7</v>
      </c>
      <c r="F239" s="2">
        <v>883</v>
      </c>
      <c r="G239" s="2">
        <v>570.51</v>
      </c>
    </row>
    <row r="240" spans="1:7">
      <c r="A240" s="2">
        <v>219</v>
      </c>
      <c r="B240" s="2" t="s">
        <v>268</v>
      </c>
      <c r="C240" s="2" t="s">
        <v>79</v>
      </c>
      <c r="D240" s="2">
        <v>2012</v>
      </c>
      <c r="E240" s="2">
        <v>6.7</v>
      </c>
      <c r="F240" s="2">
        <v>243</v>
      </c>
      <c r="G240" s="2">
        <v>307.11</v>
      </c>
    </row>
    <row r="241" spans="1:7">
      <c r="A241" s="2">
        <v>220</v>
      </c>
      <c r="B241" s="2" t="s">
        <v>269</v>
      </c>
      <c r="C241" s="2" t="s">
        <v>83</v>
      </c>
      <c r="D241" s="2">
        <v>2014</v>
      </c>
      <c r="E241" s="2">
        <v>1.6</v>
      </c>
      <c r="F241" s="2">
        <v>745</v>
      </c>
      <c r="G241" s="2">
        <v>109.31</v>
      </c>
    </row>
    <row r="242" spans="1:7">
      <c r="A242" s="2">
        <v>221</v>
      </c>
      <c r="B242" s="2" t="s">
        <v>270</v>
      </c>
      <c r="C242" s="2" t="s">
        <v>81</v>
      </c>
      <c r="D242" s="2">
        <v>2013</v>
      </c>
      <c r="E242" s="2">
        <v>11.9</v>
      </c>
      <c r="F242" s="2">
        <v>887</v>
      </c>
      <c r="G242" s="2">
        <v>635.16</v>
      </c>
    </row>
    <row r="243" spans="1:7">
      <c r="A243" s="2">
        <v>222</v>
      </c>
      <c r="B243" s="2" t="s">
        <v>271</v>
      </c>
      <c r="C243" s="2" t="s">
        <v>82</v>
      </c>
      <c r="D243" s="2">
        <v>2017</v>
      </c>
      <c r="E243" s="2">
        <v>14.8</v>
      </c>
      <c r="F243" s="2">
        <v>119</v>
      </c>
      <c r="G243" s="2">
        <v>686.74</v>
      </c>
    </row>
    <row r="244" spans="1:7">
      <c r="A244" s="2">
        <v>223</v>
      </c>
      <c r="B244" s="2" t="s">
        <v>272</v>
      </c>
      <c r="C244" s="2" t="s">
        <v>86</v>
      </c>
      <c r="D244" s="2">
        <v>2019</v>
      </c>
      <c r="E244" s="2">
        <v>3.5</v>
      </c>
      <c r="F244" s="2">
        <v>1034</v>
      </c>
      <c r="G244" s="2">
        <v>238.07</v>
      </c>
    </row>
    <row r="245" spans="1:7">
      <c r="A245" s="2">
        <v>224</v>
      </c>
      <c r="B245" s="2" t="s">
        <v>273</v>
      </c>
      <c r="C245" s="2" t="s">
        <v>78</v>
      </c>
      <c r="D245" s="2">
        <v>2018</v>
      </c>
      <c r="E245" s="2">
        <v>13.7</v>
      </c>
      <c r="F245" s="2">
        <v>1265</v>
      </c>
      <c r="G245" s="2">
        <v>781.5</v>
      </c>
    </row>
    <row r="246" spans="1:7">
      <c r="A246" s="2">
        <v>225</v>
      </c>
      <c r="B246" s="2" t="s">
        <v>274</v>
      </c>
      <c r="C246" s="2" t="s">
        <v>84</v>
      </c>
      <c r="D246" s="2">
        <v>2019</v>
      </c>
      <c r="E246" s="2">
        <v>6.3</v>
      </c>
      <c r="F246" s="2">
        <v>280</v>
      </c>
      <c r="G246" s="2">
        <v>351.5</v>
      </c>
    </row>
    <row r="247" spans="1:7">
      <c r="A247" s="2">
        <v>226</v>
      </c>
      <c r="B247" s="2" t="s">
        <v>275</v>
      </c>
      <c r="C247" s="2" t="s">
        <v>81</v>
      </c>
      <c r="D247" s="2">
        <v>2022</v>
      </c>
      <c r="E247" s="2">
        <v>9.8000000000000007</v>
      </c>
      <c r="F247" s="2">
        <v>706</v>
      </c>
      <c r="G247" s="2">
        <v>202.87</v>
      </c>
    </row>
    <row r="248" spans="1:7">
      <c r="A248" s="2">
        <v>227</v>
      </c>
      <c r="B248" s="2" t="s">
        <v>276</v>
      </c>
      <c r="C248" s="2" t="s">
        <v>85</v>
      </c>
      <c r="D248" s="2">
        <v>2017</v>
      </c>
      <c r="E248" s="2">
        <v>7.7</v>
      </c>
      <c r="F248" s="2">
        <v>541</v>
      </c>
      <c r="G248" s="2">
        <v>485.04</v>
      </c>
    </row>
    <row r="249" spans="1:7">
      <c r="A249" s="2">
        <v>228</v>
      </c>
      <c r="B249" s="2" t="s">
        <v>277</v>
      </c>
      <c r="C249" s="2" t="s">
        <v>84</v>
      </c>
      <c r="D249" s="2">
        <v>2015</v>
      </c>
      <c r="E249" s="2">
        <v>12.3</v>
      </c>
      <c r="F249" s="2">
        <v>792</v>
      </c>
      <c r="G249" s="2">
        <v>712.02</v>
      </c>
    </row>
    <row r="250" spans="1:7">
      <c r="A250" s="2">
        <v>229</v>
      </c>
      <c r="B250" s="2" t="s">
        <v>278</v>
      </c>
      <c r="C250" s="2" t="s">
        <v>84</v>
      </c>
      <c r="D250" s="2">
        <v>2014</v>
      </c>
      <c r="E250" s="2">
        <v>9</v>
      </c>
      <c r="F250" s="2">
        <v>845</v>
      </c>
      <c r="G250" s="2">
        <v>363.98</v>
      </c>
    </row>
    <row r="251" spans="1:7">
      <c r="A251" s="2">
        <v>230</v>
      </c>
      <c r="B251" s="2" t="s">
        <v>279</v>
      </c>
      <c r="C251" s="2" t="s">
        <v>79</v>
      </c>
      <c r="D251" s="2">
        <v>2018</v>
      </c>
      <c r="E251" s="2">
        <v>0.9</v>
      </c>
      <c r="F251" s="2">
        <v>247</v>
      </c>
      <c r="G251" s="2">
        <v>62.11</v>
      </c>
    </row>
    <row r="252" spans="1:7">
      <c r="A252" s="2">
        <v>231</v>
      </c>
      <c r="B252" s="2" t="s">
        <v>280</v>
      </c>
      <c r="C252" s="2" t="s">
        <v>85</v>
      </c>
      <c r="D252" s="2">
        <v>2020</v>
      </c>
      <c r="E252" s="2">
        <v>10.199999999999999</v>
      </c>
      <c r="F252" s="2">
        <v>1175</v>
      </c>
      <c r="G252" s="2">
        <v>805.83</v>
      </c>
    </row>
    <row r="253" spans="1:7">
      <c r="A253" s="2">
        <v>232</v>
      </c>
      <c r="B253" s="2" t="s">
        <v>281</v>
      </c>
      <c r="C253" s="2" t="s">
        <v>81</v>
      </c>
      <c r="D253" s="2">
        <v>2018</v>
      </c>
      <c r="E253" s="2">
        <v>0.7</v>
      </c>
      <c r="F253" s="2">
        <v>107</v>
      </c>
      <c r="G253" s="2">
        <v>36.5</v>
      </c>
    </row>
    <row r="254" spans="1:7">
      <c r="A254" s="2">
        <v>233</v>
      </c>
      <c r="B254" s="2" t="s">
        <v>282</v>
      </c>
      <c r="C254" s="2" t="s">
        <v>81</v>
      </c>
      <c r="D254" s="2">
        <v>2018</v>
      </c>
      <c r="E254" s="2">
        <v>9.1999999999999993</v>
      </c>
      <c r="F254" s="2">
        <v>1212</v>
      </c>
      <c r="G254" s="2">
        <v>409.08</v>
      </c>
    </row>
  </sheetData>
  <sortState xmlns:xlrd2="http://schemas.microsoft.com/office/spreadsheetml/2017/richdata2" ref="A2:G71">
    <sortCondition descending="1" ref="E1:E7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0D261-9E22-4011-8206-2E778B0B3420}">
  <dimension ref="B3:D18"/>
  <sheetViews>
    <sheetView tabSelected="1" workbookViewId="0">
      <selection activeCell="C24" sqref="C24"/>
    </sheetView>
  </sheetViews>
  <sheetFormatPr defaultRowHeight="14.4"/>
  <cols>
    <col min="2" max="2" width="5.33203125" style="3" bestFit="1" customWidth="1"/>
    <col min="3" max="3" width="85.77734375" style="3" bestFit="1" customWidth="1"/>
    <col min="4" max="4" width="19.21875" customWidth="1"/>
  </cols>
  <sheetData>
    <row r="3" spans="2:4">
      <c r="B3" s="4" t="s">
        <v>283</v>
      </c>
      <c r="C3" s="4" t="s">
        <v>284</v>
      </c>
      <c r="D3" s="5" t="s">
        <v>285</v>
      </c>
    </row>
    <row r="4" spans="2:4" ht="15">
      <c r="B4" s="12">
        <v>1</v>
      </c>
      <c r="C4" s="6" t="s">
        <v>286</v>
      </c>
      <c r="D4" s="9">
        <f>COUNTA(Youtube!B2:B254)</f>
        <v>253</v>
      </c>
    </row>
    <row r="5" spans="2:4" ht="15">
      <c r="B5" s="13">
        <v>2</v>
      </c>
      <c r="C5" s="7" t="s">
        <v>287</v>
      </c>
      <c r="D5" s="10">
        <f>SUM(Youtube!F2:F254)</f>
        <v>241331</v>
      </c>
    </row>
    <row r="6" spans="2:4" ht="15">
      <c r="B6" s="13">
        <v>3</v>
      </c>
      <c r="C6" s="7" t="s">
        <v>288</v>
      </c>
      <c r="D6" s="10">
        <f>AVERAGE(Youtube!E2:E254)</f>
        <v>18.343873517786569</v>
      </c>
    </row>
    <row r="7" spans="2:4" ht="15">
      <c r="B7" s="13">
        <v>4</v>
      </c>
      <c r="C7" s="7" t="s">
        <v>289</v>
      </c>
      <c r="D7" s="10">
        <f>MAX(Youtube!G2:G254)</f>
        <v>19563.650000000001</v>
      </c>
    </row>
    <row r="8" spans="2:4" ht="15">
      <c r="B8" s="13">
        <v>5</v>
      </c>
      <c r="C8" s="7" t="s">
        <v>290</v>
      </c>
      <c r="D8" s="10">
        <f>MIN(Youtube!F2:F254)</f>
        <v>107</v>
      </c>
    </row>
    <row r="9" spans="2:4" ht="15">
      <c r="B9" s="13">
        <v>6</v>
      </c>
      <c r="C9" s="7" t="s">
        <v>291</v>
      </c>
      <c r="D9" s="10">
        <f>COUNTIF(Youtube!C2:C254, "Music")</f>
        <v>15</v>
      </c>
    </row>
    <row r="10" spans="2:4" ht="15">
      <c r="B10" s="13">
        <v>7</v>
      </c>
      <c r="C10" s="7" t="s">
        <v>292</v>
      </c>
      <c r="D10" s="10">
        <f>AVERAGEIF(Youtube!C2:C254, "Tech", Youtube!F2:F254)</f>
        <v>997.47058823529414</v>
      </c>
    </row>
    <row r="11" spans="2:4" ht="15">
      <c r="B11" s="13">
        <v>8</v>
      </c>
      <c r="C11" s="7" t="s">
        <v>293</v>
      </c>
      <c r="D11" s="10"/>
    </row>
    <row r="12" spans="2:4" ht="15">
      <c r="B12" s="13">
        <v>9</v>
      </c>
      <c r="C12" s="7" t="s">
        <v>294</v>
      </c>
      <c r="D12" s="10">
        <f>LARGE(Youtube!E2:E254,3)</f>
        <v>180</v>
      </c>
    </row>
    <row r="13" spans="2:4" ht="15">
      <c r="B13" s="13">
        <v>10</v>
      </c>
      <c r="C13" s="7" t="s">
        <v>295</v>
      </c>
      <c r="D13" s="10">
        <f>SMALL(Youtube!G2:G254,5)</f>
        <v>40.14</v>
      </c>
    </row>
    <row r="14" spans="2:4" ht="15">
      <c r="B14" s="13">
        <v>11</v>
      </c>
      <c r="C14" s="7" t="s">
        <v>296</v>
      </c>
      <c r="D14" s="10">
        <f>COUNTIF(Youtube!D2:D254, 2020)</f>
        <v>13</v>
      </c>
    </row>
    <row r="15" spans="2:4" ht="15">
      <c r="B15" s="13">
        <v>12</v>
      </c>
      <c r="C15" s="7" t="s">
        <v>297</v>
      </c>
      <c r="D15" s="10">
        <f>AVERAGEIF(Youtube!D2:D254, 2019,Youtube!E2:E254)</f>
        <v>5.6230769230769226</v>
      </c>
    </row>
    <row r="16" spans="2:4" ht="15">
      <c r="B16" s="13">
        <v>13</v>
      </c>
      <c r="C16" s="7" t="s">
        <v>298</v>
      </c>
      <c r="D16" s="10">
        <f>MAX(Youtube!E2:E254)-MIN(Youtube!E2:E254)</f>
        <v>269.3</v>
      </c>
    </row>
    <row r="17" spans="2:4" ht="15">
      <c r="B17" s="13">
        <v>14</v>
      </c>
      <c r="C17" s="7" t="s">
        <v>299</v>
      </c>
      <c r="D17" s="10">
        <f>SUM(Youtube!G2:G254)</f>
        <v>269736.36999999959</v>
      </c>
    </row>
    <row r="18" spans="2:4" ht="15">
      <c r="B18" s="14">
        <v>15</v>
      </c>
      <c r="C18" s="8" t="s">
        <v>300</v>
      </c>
      <c r="D18" s="11">
        <f>_xlfn.STDEV.S(Youtube!G2:G254)</f>
        <v>2024.2922262820969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Statement</vt:lpstr>
      <vt:lpstr>Youtube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gupta</dc:creator>
  <cp:lastModifiedBy>a gupta</cp:lastModifiedBy>
  <dcterms:created xsi:type="dcterms:W3CDTF">2025-07-24T06:33:23Z</dcterms:created>
  <dcterms:modified xsi:type="dcterms:W3CDTF">2025-11-03T07:29:46Z</dcterms:modified>
</cp:coreProperties>
</file>